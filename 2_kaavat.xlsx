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cit-my.sharepoint.com/personal/jouko_teeriaho_lapinamk_fi/Documents/Työpöytä/syksy26/Excel/LuentoExcelit/"/>
    </mc:Choice>
  </mc:AlternateContent>
  <xr:revisionPtr revIDLastSave="216" documentId="8_{F942624E-6CB5-40B5-B31B-0874DA8D24A8}" xr6:coauthVersionLast="47" xr6:coauthVersionMax="47" xr10:uidLastSave="{B693B3CC-A4D9-45E0-ABAF-CCF21629E626}"/>
  <bookViews>
    <workbookView xWindow="160" yWindow="60" windowWidth="18970" windowHeight="9930" xr2:uid="{46413BDE-2705-4045-A68A-426E70DEC610}"/>
  </bookViews>
  <sheets>
    <sheet name="1) Perusteita" sheetId="11" r:id="rId1"/>
    <sheet name="2) Absoluttinen viittaus" sheetId="1" r:id="rId2"/>
    <sheet name="3) Sekaviittaukset" sheetId="2" r:id="rId3"/>
    <sheet name="4) tilastofunktioita" sheetId="3" r:id="rId4"/>
    <sheet name="5) JOS -funktio " sheetId="4" r:id="rId5"/>
    <sheet name="6) PHAKU-funktio" sheetId="5" r:id="rId6"/>
    <sheet name="7) Työmatkavähennys" sheetId="10" r:id="rId7"/>
    <sheet name="8) Autom. sarjat" sheetId="6" r:id="rId8"/>
    <sheet name="9) Pikatäyttötoiminto" sheetId="7" r:id="rId9"/>
  </sheets>
  <definedNames>
    <definedName name="alat">'4) tilastofunktioita'!$C$2:$C$215</definedName>
    <definedName name="asiakas">'6) PHAKU-funktio'!$M$7:$Q$16</definedName>
    <definedName name="korko">'3) Sekaviittaukset'!$C$12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1" i="4" l="1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40" i="4"/>
  <c r="D9" i="10"/>
  <c r="E9" i="10"/>
  <c r="F9" i="10"/>
  <c r="G9" i="10"/>
  <c r="H9" i="10"/>
  <c r="I9" i="10"/>
  <c r="C9" i="10"/>
  <c r="I11" i="5"/>
  <c r="B18" i="1" l="1"/>
</calcChain>
</file>

<file path=xl/sharedStrings.xml><?xml version="1.0" encoding="utf-8"?>
<sst xmlns="http://schemas.openxmlformats.org/spreadsheetml/2006/main" count="461" uniqueCount="402">
  <si>
    <t>Anne</t>
  </si>
  <si>
    <t>Aaro</t>
  </si>
  <si>
    <t>Keijo</t>
  </si>
  <si>
    <t>Laila</t>
  </si>
  <si>
    <t>Matias</t>
  </si>
  <si>
    <t>Nette</t>
  </si>
  <si>
    <t>Mika</t>
  </si>
  <si>
    <t>Noora</t>
  </si>
  <si>
    <t>Olli</t>
  </si>
  <si>
    <t>Raija</t>
  </si>
  <si>
    <t>Risto</t>
  </si>
  <si>
    <t>Terttu</t>
  </si>
  <si>
    <t>Nimi</t>
  </si>
  <si>
    <t>Nyk. palkka</t>
  </si>
  <si>
    <t>Uusi palkka</t>
  </si>
  <si>
    <t>Palkankorotusprosentti:</t>
  </si>
  <si>
    <t>Absoluuttiset ja suhteelliset viittaukset</t>
  </si>
  <si>
    <t>palkkasumma</t>
  </si>
  <si>
    <t>kk \ määrä</t>
  </si>
  <si>
    <t>korko</t>
  </si>
  <si>
    <t>Erien määrä</t>
  </si>
  <si>
    <t>Korko%</t>
  </si>
  <si>
    <t>Lainamäärä</t>
  </si>
  <si>
    <t>Kk-erä</t>
  </si>
  <si>
    <t>Maa</t>
  </si>
  <si>
    <t>Afghanistan</t>
  </si>
  <si>
    <t>Albania</t>
  </si>
  <si>
    <t>Algeria</t>
  </si>
  <si>
    <t>American Samoa</t>
  </si>
  <si>
    <t>Andorra</t>
  </si>
  <si>
    <t>Angola</t>
  </si>
  <si>
    <t>Anguilla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</si>
  <si>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</si>
  <si>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</si>
  <si>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</si>
  <si>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</si>
  <si>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</si>
  <si>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</si>
  <si>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</si>
  <si>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</si>
  <si>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</si>
  <si>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</si>
  <si>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</si>
  <si>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</si>
  <si>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</si>
  <si>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</si>
  <si>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</si>
  <si>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</si>
  <si>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</si>
  <si>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</si>
  <si>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</si>
  <si>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</si>
  <si>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 xml:space="preserve">Brunei 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</si>
  <si>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</si>
  <si>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</si>
  <si>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</si>
  <si>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</si>
  <si>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</si>
  <si>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</si>
  <si>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</si>
  <si>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Netherlands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</si>
  <si>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</si>
  <si>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</si>
  <si>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</si>
  <si>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</si>
  <si>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</si>
  <si>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</si>
  <si>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</si>
  <si>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</si>
  <si>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</si>
  <si>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</si>
  <si>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</si>
  <si>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</si>
  <si>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</si>
  <si>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</si>
  <si>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</si>
  <si>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</si>
  <si>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</si>
  <si>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</si>
  <si>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</si>
  <si>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</si>
  <si>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</si>
  <si>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</si>
  <si>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</si>
  <si>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</si>
  <si>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</si>
  <si>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</si>
  <si>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</si>
  <si>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</si>
  <si>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</si>
  <si>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</si>
  <si>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</si>
  <si>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</si>
  <si>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</si>
  <si>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</si>
  <si>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</si>
  <si>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</si>
  <si>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</si>
  <si>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</si>
  <si>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</si>
  <si>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</si>
  <si>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</si>
  <si>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</si>
  <si>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</si>
  <si>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</si>
  <si>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</si>
  <si>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</si>
  <si>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</si>
  <si>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</si>
  <si>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</si>
  <si>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</si>
  <si>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</si>
  <si>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</si>
  <si>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</si>
  <si>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</si>
  <si>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</si>
  <si>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</si>
  <si>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</si>
  <si>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</si>
  <si>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</si>
  <si>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</si>
  <si>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</si>
  <si>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</si>
  <si>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</si>
  <si>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</si>
  <si>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</si>
  <si>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</si>
  <si>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</si>
  <si>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</si>
  <si>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</si>
  <si>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</si>
  <si>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</si>
  <si>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</si>
  <si>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</si>
  <si>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</si>
  <si>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</si>
  <si>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</si>
  <si>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</si>
  <si>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</si>
  <si>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</si>
  <si>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</si>
  <si>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</si>
  <si>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</si>
  <si>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</si>
  <si>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</si>
  <si>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</si>
  <si>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</si>
  <si>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</si>
  <si>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</si>
  <si>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</si>
  <si>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</si>
  <si>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</si>
  <si>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</si>
  <si>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</si>
  <si>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</si>
  <si>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</si>
  <si>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</si>
  <si>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</si>
  <si>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</si>
  <si>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</si>
  <si>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</si>
  <si>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</si>
  <si>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</si>
  <si>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</si>
  <si>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</si>
  <si>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</si>
  <si>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</si>
  <si>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</si>
  <si>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</si>
  <si>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</si>
  <si>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</si>
  <si>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</si>
  <si>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</si>
  <si>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</si>
  <si>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</si>
  <si>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</si>
  <si>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</si>
  <si>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</si>
  <si>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</si>
  <si>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</si>
  <si>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</si>
  <si>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</si>
  <si>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</si>
  <si>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Helena</t>
  </si>
  <si>
    <t>Saint Lucia</t>
  </si>
  <si>
    <t>Saint Martin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</si>
  <si>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</si>
  <si>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</si>
  <si>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</si>
  <si>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</si>
  <si>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</si>
  <si>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</si>
  <si>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</si>
  <si>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</si>
  <si>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</si>
  <si>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</si>
  <si>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</si>
  <si>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</si>
  <si>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</si>
  <si>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</si>
  <si>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</si>
  <si>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</si>
  <si>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</si>
  <si>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</si>
  <si>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St. Vincent &amp;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</si>
  <si>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</si>
  <si>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</si>
  <si>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</si>
  <si>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</si>
  <si>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</si>
  <si>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</si>
  <si>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</si>
  <si>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</si>
  <si>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</si>
  <si>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</si>
  <si>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</si>
  <si>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</si>
  <si>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</si>
  <si>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</si>
  <si>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</si>
  <si>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</si>
  <si>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</si>
  <si>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</si>
  <si>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</si>
  <si>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</si>
  <si>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</si>
  <si>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</si>
  <si>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</si>
  <si>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</si>
  <si>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</si>
  <si>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</si>
  <si>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</si>
  <si>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</si>
  <si>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</si>
  <si>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</si>
  <si>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</si>
  <si>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</si>
  <si>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</si>
  <si>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Czechia</t>
  </si>
  <si>
    <t>Keskiarvo</t>
  </si>
  <si>
    <t>Pienin ala</t>
  </si>
  <si>
    <t>Suurin ala</t>
  </si>
  <si>
    <t>Luokkien ylärajat</t>
  </si>
  <si>
    <t>lkm</t>
  </si>
  <si>
    <t>1. desiili (P10)</t>
  </si>
  <si>
    <t>9. desiili (P90)</t>
  </si>
  <si>
    <t>Mediaani (P50)</t>
  </si>
  <si>
    <t>a)</t>
  </si>
  <si>
    <t>b)</t>
  </si>
  <si>
    <t>d)</t>
  </si>
  <si>
    <t>e)</t>
  </si>
  <si>
    <t>f)</t>
  </si>
  <si>
    <t>Lasketaan Excel funktioita käyttäen muuttujalle</t>
  </si>
  <si>
    <t>ala seuraavat tunnusluvut</t>
  </si>
  <si>
    <r>
      <t>Pinta-ala km</t>
    </r>
    <r>
      <rPr>
        <b/>
        <vertAlign val="superscript"/>
        <sz val="8"/>
        <color theme="0"/>
        <rFont val="Arial"/>
        <family val="2"/>
      </rPr>
      <t>2</t>
    </r>
  </si>
  <si>
    <t>Pisteet</t>
  </si>
  <si>
    <t>Leo</t>
  </si>
  <si>
    <t>Aada</t>
  </si>
  <si>
    <t>Sofia</t>
  </si>
  <si>
    <t>Eino</t>
  </si>
  <si>
    <t>Helmi</t>
  </si>
  <si>
    <t>Väinö</t>
  </si>
  <si>
    <t>Onni</t>
  </si>
  <si>
    <t>Ellen</t>
  </si>
  <si>
    <t>Oliver</t>
  </si>
  <si>
    <t>Lilja</t>
  </si>
  <si>
    <t>Eeli</t>
  </si>
  <si>
    <t>Hilla</t>
  </si>
  <si>
    <t>Elias</t>
  </si>
  <si>
    <t>Venla</t>
  </si>
  <si>
    <t>Noel</t>
  </si>
  <si>
    <t>Isla</t>
  </si>
  <si>
    <t>Emil</t>
  </si>
  <si>
    <t>Kerttu</t>
  </si>
  <si>
    <t>Toivo</t>
  </si>
  <si>
    <t>Olivia</t>
  </si>
  <si>
    <t>hyv/hyl</t>
  </si>
  <si>
    <t>kuvakaappaus halutusta tuloksesta</t>
  </si>
  <si>
    <t>Asiakasrekisteri</t>
  </si>
  <si>
    <t>Katuosoite</t>
  </si>
  <si>
    <t>Postinumero</t>
  </si>
  <si>
    <t>Postitoimipaikka</t>
  </si>
  <si>
    <t>Matti Virtanen</t>
  </si>
  <si>
    <t>Mannerheimintie 14 B</t>
  </si>
  <si>
    <t>Helsinki</t>
  </si>
  <si>
    <t>Anna Korhonen</t>
  </si>
  <si>
    <t>Aleksanterinkatu 7</t>
  </si>
  <si>
    <t>Tampere</t>
  </si>
  <si>
    <t>Juho Mäkelä</t>
  </si>
  <si>
    <t>Aurakatu 12 a 4</t>
  </si>
  <si>
    <t>Turku</t>
  </si>
  <si>
    <t>Sofia Laine</t>
  </si>
  <si>
    <t>Kauppakatu 25</t>
  </si>
  <si>
    <t>Jyväskylä</t>
  </si>
  <si>
    <t>Mikko Koskinen</t>
  </si>
  <si>
    <t>Kirkkokatu 8</t>
  </si>
  <si>
    <t>Oulu</t>
  </si>
  <si>
    <t>Laura Nieminen</t>
  </si>
  <si>
    <t>Valtakatu 19 C</t>
  </si>
  <si>
    <t>Rovaniemi</t>
  </si>
  <si>
    <t>Tuomas Heikkinen</t>
  </si>
  <si>
    <t>Kuopiontori 3</t>
  </si>
  <si>
    <t>Kuopio</t>
  </si>
  <si>
    <t>Emmi Järvinen</t>
  </si>
  <si>
    <t>Satamakatu 10 A</t>
  </si>
  <si>
    <t>Vaasa</t>
  </si>
  <si>
    <t>Ville Saarinen</t>
  </si>
  <si>
    <t>Karjalankatu 5</t>
  </si>
  <si>
    <t>Lappeenranta</t>
  </si>
  <si>
    <t>Noora Salo</t>
  </si>
  <si>
    <t>Hämeenkatu 22 b</t>
  </si>
  <si>
    <t>Lahti</t>
  </si>
  <si>
    <t>00100</t>
  </si>
  <si>
    <t>90100</t>
  </si>
  <si>
    <t>Asnro</t>
  </si>
  <si>
    <t>Laskuttajan yritys Oy</t>
  </si>
  <si>
    <t>LASKU</t>
  </si>
  <si>
    <t>Katuosoite 123</t>
  </si>
  <si>
    <t>00100 Paikkakunta</t>
  </si>
  <si>
    <t>Päivämäärä</t>
  </si>
  <si>
    <t>Laskunro</t>
  </si>
  <si>
    <t>72456</t>
  </si>
  <si>
    <t>Asiakasnumero</t>
  </si>
  <si>
    <t>Toimituspäivä</t>
  </si>
  <si>
    <t>Toimitustapa</t>
  </si>
  <si>
    <t>Posti</t>
  </si>
  <si>
    <t>Maksuehdot</t>
  </si>
  <si>
    <t>pv/netto</t>
  </si>
  <si>
    <t>Eräpäivä</t>
  </si>
  <si>
    <t>Viivästyskorko</t>
  </si>
  <si>
    <r>
      <rPr>
        <sz val="11"/>
        <color theme="1"/>
        <rFont val="Aptos Narrow"/>
        <family val="2"/>
        <scheme val="minor"/>
      </rPr>
      <t>Huom! Ao. asiakasrekisterin värialueelle on annettu nimi</t>
    </r>
    <r>
      <rPr>
        <b/>
        <sz val="11"/>
        <color theme="1"/>
        <rFont val="Aptos Narrow"/>
        <family val="2"/>
        <scheme val="minor"/>
      </rPr>
      <t xml:space="preserve"> asiakas</t>
    </r>
  </si>
  <si>
    <t>Tämä helpottaa  kaavaan viittaamista kaavoissa</t>
  </si>
  <si>
    <t>ma</t>
  </si>
  <si>
    <t>Paistettu sei</t>
  </si>
  <si>
    <t>Kinkkupizza</t>
  </si>
  <si>
    <t>Kanarisotto</t>
  </si>
  <si>
    <t>Hampurilainen</t>
  </si>
  <si>
    <t>Hernekeitto</t>
  </si>
  <si>
    <t>Kaalilaatikko</t>
  </si>
  <si>
    <t>Makaronilaatikko</t>
  </si>
  <si>
    <t>Ruokalista</t>
  </si>
  <si>
    <t>Keskilämpötilat Rovaniemi 2025</t>
  </si>
  <si>
    <t>tammi</t>
  </si>
  <si>
    <t>sunnuntait 4.10 eteenpäin</t>
  </si>
  <si>
    <t>Koko nimi</t>
  </si>
  <si>
    <t>Etunimi</t>
  </si>
  <si>
    <t>Sukunimi</t>
  </si>
  <si>
    <t xml:space="preserve">emailosoite </t>
  </si>
  <si>
    <t>@edu,lapinamk.fi</t>
  </si>
  <si>
    <t xml:space="preserve">  &lt;= kirjoita kaava tähän</t>
  </si>
  <si>
    <t>Alapuolella kuvakaappaukset vastauksista</t>
  </si>
  <si>
    <t>Anna koko vuoden työmatkakulusi:</t>
  </si>
  <si>
    <t>Laskettu verovähennys =</t>
  </si>
  <si>
    <t>MIN(luku1, luku2) palauttaa pienemmän luvuista</t>
  </si>
  <si>
    <t>MAKS(luku1, luku2) palauttaa suuremman luvuista</t>
  </si>
  <si>
    <t>A) Lainan kuukausierälaskuri</t>
  </si>
  <si>
    <t>B) Lainan kuukausierätaulukko</t>
  </si>
  <si>
    <t xml:space="preserve">Esim1.   Exceliä voi käyttää laskimena.   Laske </t>
  </si>
  <si>
    <t>Esim2.   Polttoainekululaskuri</t>
  </si>
  <si>
    <t>ajokm</t>
  </si>
  <si>
    <t>kulutus/100 km</t>
  </si>
  <si>
    <t>litrahinta (D)</t>
  </si>
  <si>
    <t>matkakustannukset</t>
  </si>
  <si>
    <t>Esim3.   Keskiarvo-funktio</t>
  </si>
  <si>
    <t>keskiarvo</t>
  </si>
  <si>
    <t>Esim4.   Eräpäivälaskuri</t>
  </si>
  <si>
    <t>ostopäivämäärä</t>
  </si>
  <si>
    <t>maksuaika (pv netto)</t>
  </si>
  <si>
    <t>eröpäivä</t>
  </si>
  <si>
    <t>Esim5.  Viittaus solualueeseen Excel funktiossa</t>
  </si>
  <si>
    <t>lottonumeroita</t>
  </si>
  <si>
    <t xml:space="preserve">lottonumeroiden </t>
  </si>
  <si>
    <r>
      <t xml:space="preserve">Anna varjostetulle alueelle nimi: </t>
    </r>
    <r>
      <rPr>
        <b/>
        <sz val="11"/>
        <color theme="1"/>
        <rFont val="Aptos Narrow"/>
        <family val="2"/>
        <scheme val="minor"/>
      </rPr>
      <t>pituudet</t>
    </r>
  </si>
  <si>
    <t>pituuksien keskiarvo</t>
  </si>
  <si>
    <t>Esim7.  Kaavan kopiointi alas aluetaulukossa</t>
  </si>
  <si>
    <t>Esim8.  Kaavan kopiointi alas älykkäässä taulukossa</t>
  </si>
  <si>
    <r>
      <t xml:space="preserve">Esim6.  </t>
    </r>
    <r>
      <rPr>
        <b/>
        <sz val="11"/>
        <color rgb="FFFF0000"/>
        <rFont val="Aptos Narrow"/>
        <family val="2"/>
        <scheme val="minor"/>
      </rPr>
      <t>Alueen nimeäminen</t>
    </r>
    <r>
      <rPr>
        <b/>
        <sz val="11"/>
        <color theme="1"/>
        <rFont val="Aptos Narrow"/>
        <family val="2"/>
        <scheme val="minor"/>
      </rPr>
      <t xml:space="preserve"> ja viittaus, jossa käytetään alueen nimeä</t>
    </r>
  </si>
  <si>
    <t>pituuksien lukumäärä</t>
  </si>
  <si>
    <t>suurin pituus</t>
  </si>
  <si>
    <t>Nimeäminen tapahtuu komentosarjalla</t>
  </si>
  <si>
    <t>Kaavat -Määritellyt nimet - Määritä nimi …</t>
  </si>
  <si>
    <t>jonka jälkeen valitaan alue ja annetaan sille nimi pituudet</t>
  </si>
  <si>
    <r>
      <t xml:space="preserve"> </t>
    </r>
    <r>
      <rPr>
        <sz val="11"/>
        <color rgb="FFFF0000"/>
        <rFont val="Aptos Narrow"/>
        <family val="2"/>
        <scheme val="minor"/>
      </rPr>
      <t>=keskiarvo(alat)</t>
    </r>
  </si>
  <si>
    <t xml:space="preserve"> =mediaani(alat)</t>
  </si>
  <si>
    <r>
      <t xml:space="preserve"> </t>
    </r>
    <r>
      <rPr>
        <sz val="11"/>
        <color rgb="FFFF0000"/>
        <rFont val="Aptos Narrow"/>
        <family val="2"/>
        <scheme val="minor"/>
      </rPr>
      <t>=min(alat)</t>
    </r>
  </si>
  <si>
    <r>
      <t xml:space="preserve"> </t>
    </r>
    <r>
      <rPr>
        <sz val="11"/>
        <color rgb="FFFF0000"/>
        <rFont val="Aptos Narrow"/>
        <family val="2"/>
        <scheme val="minor"/>
      </rPr>
      <t>=maks(alat)</t>
    </r>
  </si>
  <si>
    <r>
      <t xml:space="preserve"> </t>
    </r>
    <r>
      <rPr>
        <sz val="11"/>
        <color rgb="FFFF0000"/>
        <rFont val="Aptos Narrow"/>
        <family val="2"/>
        <scheme val="minor"/>
      </rPr>
      <t>=taajuus(alat;f17:f23)</t>
    </r>
  </si>
  <si>
    <r>
      <t xml:space="preserve"> </t>
    </r>
    <r>
      <rPr>
        <sz val="11"/>
        <color rgb="FFFF0000"/>
        <rFont val="Aptos Narrow"/>
        <family val="2"/>
        <scheme val="minor"/>
      </rPr>
      <t>=prosenttipiste.sis(alat;90%)</t>
    </r>
  </si>
  <si>
    <r>
      <t xml:space="preserve"> </t>
    </r>
    <r>
      <rPr>
        <sz val="11"/>
        <color rgb="FFFF0000"/>
        <rFont val="Aptos Narrow"/>
        <family val="2"/>
        <scheme val="minor"/>
      </rPr>
      <t>=prosenttipiste.sis(alat;10%)</t>
    </r>
  </si>
  <si>
    <t xml:space="preserve">  </t>
  </si>
  <si>
    <r>
      <t xml:space="preserve"> </t>
    </r>
    <r>
      <rPr>
        <sz val="11"/>
        <color rgb="FFFF0000"/>
        <rFont val="Aptos Narrow"/>
        <family val="2"/>
        <scheme val="minor"/>
      </rPr>
      <t>=phaku(D11;asiakas;2)</t>
    </r>
  </si>
  <si>
    <r>
      <t xml:space="preserve"> </t>
    </r>
    <r>
      <rPr>
        <sz val="11"/>
        <color rgb="FFFF0000"/>
        <rFont val="Aptos Narrow"/>
        <family val="2"/>
        <scheme val="minor"/>
      </rPr>
      <t>=phaku(D11;asiakas;3)</t>
    </r>
  </si>
  <si>
    <r>
      <t xml:space="preserve"> </t>
    </r>
    <r>
      <rPr>
        <sz val="11"/>
        <color rgb="FFFF0000"/>
        <rFont val="Aptos Narrow"/>
        <family val="2"/>
        <scheme val="minor"/>
      </rPr>
      <t>=phaku(D11;asiakas;4)</t>
    </r>
  </si>
  <si>
    <r>
      <t xml:space="preserve"> </t>
    </r>
    <r>
      <rPr>
        <sz val="11"/>
        <color rgb="FFFF0000"/>
        <rFont val="Aptos Narrow"/>
        <family val="2"/>
        <scheme val="minor"/>
      </rPr>
      <t>=phaku(D11;asiakas;5)</t>
    </r>
  </si>
  <si>
    <t>hylätty</t>
  </si>
  <si>
    <t>tyydyttävä</t>
  </si>
  <si>
    <t>hyvä</t>
  </si>
  <si>
    <t>kiitettävä</t>
  </si>
  <si>
    <t>alaraja</t>
  </si>
  <si>
    <t>arvosana</t>
  </si>
  <si>
    <r>
      <t xml:space="preserve"> </t>
    </r>
    <r>
      <rPr>
        <sz val="11"/>
        <color rgb="FFFF0000"/>
        <rFont val="Aptos Narrow"/>
        <family val="2"/>
        <scheme val="minor"/>
      </rPr>
      <t>=phaku(C40;$B$34;$C$37;2)</t>
    </r>
  </si>
  <si>
    <r>
      <t xml:space="preserve"> </t>
    </r>
    <r>
      <rPr>
        <sz val="11"/>
        <color rgb="FFFF0000"/>
        <rFont val="Aptos Narrow"/>
        <family val="2"/>
        <scheme val="minor"/>
      </rPr>
      <t>kopioidaan alas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</si>
</sst>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43" formatCode="_-* #,##0.00_-;\-* #,##0.00_-;_-* &quot;-&quot;??_-;_-@_-"/>
    <numFmt numFmtId="164" formatCode="0.0\ %"/>
    <numFmt numFmtId="166" formatCode="_-* #,##0_-;\-* #,##0_-;_-* &quot;-&quot;??_-;_-@_-"/>
    <numFmt numFmtId="167" formatCode="#,##0\ _€;\-#,##0\ _€"/>
    <numFmt numFmtId="175" formatCode="#,##0\ &quot;€&quot;"/>
  </numFmts>
  <fonts count="2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b/>
      <vertAlign val="superscript"/>
      <sz val="8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Courier New"/>
      <family val="3"/>
    </font>
    <font>
      <sz val="11"/>
      <color theme="8" tint="-0.249977111117893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8" tint="-0.499984740745262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2"/>
        <bgColor theme="1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F9EB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2" fillId="3" borderId="1" applyNumberFormat="0" applyFont="0" applyAlignment="0" applyProtection="0"/>
    <xf numFmtId="0" fontId="14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164" fontId="4" fillId="3" borderId="1" xfId="3" applyNumberFormat="1" applyFont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0" borderId="2" xfId="1" applyFont="1" applyBorder="1"/>
    <xf numFmtId="0" fontId="5" fillId="4" borderId="3" xfId="0" applyFont="1" applyFill="1" applyBorder="1"/>
    <xf numFmtId="0" fontId="5" fillId="4" borderId="0" xfId="0" applyFont="1" applyFill="1"/>
    <xf numFmtId="0" fontId="5" fillId="4" borderId="4" xfId="0" applyFont="1" applyFill="1" applyBorder="1"/>
    <xf numFmtId="0" fontId="0" fillId="0" borderId="5" xfId="0" applyBorder="1"/>
    <xf numFmtId="43" fontId="0" fillId="0" borderId="5" xfId="1" applyFont="1" applyBorder="1" applyAlignment="1">
      <alignment horizontal="center"/>
    </xf>
    <xf numFmtId="43" fontId="0" fillId="0" borderId="5" xfId="1" applyFont="1" applyBorder="1"/>
    <xf numFmtId="43" fontId="2" fillId="0" borderId="5" xfId="1" applyFont="1" applyBorder="1"/>
    <xf numFmtId="0" fontId="0" fillId="0" borderId="0" xfId="0" applyAlignment="1">
      <alignment horizontal="right"/>
    </xf>
    <xf numFmtId="10" fontId="0" fillId="3" borderId="1" xfId="3" applyNumberFormat="1" applyFont="1"/>
    <xf numFmtId="0" fontId="7" fillId="5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0" fillId="3" borderId="1" xfId="3" applyFont="1"/>
    <xf numFmtId="8" fontId="10" fillId="0" borderId="2" xfId="0" applyNumberFormat="1" applyFont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6" fillId="0" borderId="2" xfId="0" applyFont="1" applyBorder="1" applyAlignment="1">
      <alignment wrapText="1"/>
    </xf>
    <xf numFmtId="166" fontId="6" fillId="0" borderId="2" xfId="1" applyNumberFormat="1" applyFont="1" applyBorder="1" applyAlignment="1">
      <alignment horizontal="center" wrapText="1"/>
    </xf>
    <xf numFmtId="166" fontId="0" fillId="0" borderId="0" xfId="1" applyNumberFormat="1" applyFont="1"/>
    <xf numFmtId="0" fontId="6" fillId="0" borderId="5" xfId="0" applyFont="1" applyBorder="1" applyAlignment="1">
      <alignment wrapText="1"/>
    </xf>
    <xf numFmtId="166" fontId="6" fillId="0" borderId="5" xfId="1" applyNumberFormat="1" applyFont="1" applyBorder="1" applyAlignment="1">
      <alignment horizontal="center" wrapText="1"/>
    </xf>
    <xf numFmtId="0" fontId="12" fillId="0" borderId="0" xfId="0" applyFont="1" applyAlignment="1">
      <alignment horizontal="right"/>
    </xf>
    <xf numFmtId="0" fontId="12" fillId="0" borderId="0" xfId="0" applyFont="1"/>
    <xf numFmtId="166" fontId="0" fillId="6" borderId="2" xfId="1" applyNumberFormat="1" applyFont="1" applyFill="1" applyBorder="1"/>
    <xf numFmtId="0" fontId="13" fillId="0" borderId="0" xfId="0" applyFont="1"/>
    <xf numFmtId="49" fontId="10" fillId="0" borderId="0" xfId="0" applyNumberFormat="1" applyFont="1" applyAlignment="1">
      <alignment horizontal="center"/>
    </xf>
    <xf numFmtId="0" fontId="16" fillId="0" borderId="0" xfId="0" applyFont="1"/>
    <xf numFmtId="166" fontId="16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0" fontId="18" fillId="0" borderId="2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15" fillId="0" borderId="0" xfId="0" applyFont="1"/>
    <xf numFmtId="0" fontId="20" fillId="0" borderId="0" xfId="0" applyFont="1"/>
    <xf numFmtId="0" fontId="21" fillId="0" borderId="0" xfId="0" applyFont="1"/>
    <xf numFmtId="49" fontId="0" fillId="0" borderId="0" xfId="0" applyNumberFormat="1"/>
    <xf numFmtId="0" fontId="0" fillId="0" borderId="6" xfId="0" applyBorder="1"/>
    <xf numFmtId="0" fontId="0" fillId="0" borderId="7" xfId="0" applyBorder="1"/>
    <xf numFmtId="0" fontId="15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0" fillId="0" borderId="0" xfId="0" applyNumberFormat="1"/>
    <xf numFmtId="14" fontId="0" fillId="7" borderId="0" xfId="0" applyNumberFormat="1" applyFill="1"/>
    <xf numFmtId="0" fontId="0" fillId="0" borderId="11" xfId="0" applyBorder="1"/>
    <xf numFmtId="10" fontId="0" fillId="0" borderId="11" xfId="0" applyNumberFormat="1" applyBorder="1"/>
    <xf numFmtId="0" fontId="0" fillId="0" borderId="12" xfId="0" applyBorder="1"/>
    <xf numFmtId="0" fontId="0" fillId="6" borderId="2" xfId="0" applyFill="1" applyBorder="1"/>
    <xf numFmtId="0" fontId="0" fillId="8" borderId="2" xfId="0" applyFill="1" applyBorder="1"/>
    <xf numFmtId="0" fontId="0" fillId="8" borderId="1" xfId="3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0" fillId="0" borderId="0" xfId="0" applyAlignment="1">
      <alignment horizontal="left"/>
    </xf>
    <xf numFmtId="0" fontId="0" fillId="6" borderId="2" xfId="0" applyFill="1" applyBorder="1" applyAlignment="1">
      <alignment horizontal="center"/>
    </xf>
    <xf numFmtId="14" fontId="0" fillId="6" borderId="2" xfId="0" applyNumberFormat="1" applyFill="1" applyBorder="1"/>
    <xf numFmtId="0" fontId="14" fillId="0" borderId="0" xfId="4"/>
    <xf numFmtId="167" fontId="15" fillId="10" borderId="2" xfId="1" applyNumberFormat="1" applyFont="1" applyFill="1" applyBorder="1"/>
    <xf numFmtId="0" fontId="0" fillId="11" borderId="2" xfId="0" applyFill="1" applyBorder="1"/>
    <xf numFmtId="43" fontId="0" fillId="12" borderId="2" xfId="1" applyFont="1" applyFill="1" applyBorder="1"/>
    <xf numFmtId="0" fontId="21" fillId="0" borderId="0" xfId="0" applyFont="1" applyAlignment="1">
      <alignment horizontal="left" indent="2"/>
    </xf>
    <xf numFmtId="0" fontId="6" fillId="0" borderId="0" xfId="0" applyFont="1"/>
    <xf numFmtId="0" fontId="10" fillId="0" borderId="2" xfId="0" applyFont="1" applyBorder="1"/>
    <xf numFmtId="0" fontId="10" fillId="0" borderId="14" xfId="0" applyFont="1" applyBorder="1"/>
    <xf numFmtId="0" fontId="0" fillId="0" borderId="13" xfId="0" applyBorder="1"/>
    <xf numFmtId="14" fontId="0" fillId="11" borderId="13" xfId="0" applyNumberFormat="1" applyFill="1" applyBorder="1"/>
    <xf numFmtId="0" fontId="22" fillId="0" borderId="0" xfId="0" applyFont="1"/>
    <xf numFmtId="0" fontId="0" fillId="11" borderId="5" xfId="0" applyFill="1" applyBorder="1"/>
    <xf numFmtId="0" fontId="0" fillId="6" borderId="2" xfId="0" applyFill="1" applyBorder="1"/>
    <xf numFmtId="0" fontId="0" fillId="6" borderId="2" xfId="0" applyFill="1" applyBorder="1" applyAlignment="1">
      <alignment horizontal="left"/>
    </xf>
    <xf numFmtId="0" fontId="0" fillId="7" borderId="2" xfId="0" applyFill="1" applyBorder="1" applyAlignment="1">
      <alignment horizontal="center"/>
    </xf>
    <xf numFmtId="14" fontId="0" fillId="7" borderId="2" xfId="0" applyNumberFormat="1" applyFill="1" applyBorder="1"/>
    <xf numFmtId="0" fontId="0" fillId="7" borderId="2" xfId="0" applyFill="1" applyBorder="1"/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2" fontId="0" fillId="11" borderId="2" xfId="0" applyNumberFormat="1" applyFill="1" applyBorder="1"/>
    <xf numFmtId="0" fontId="24" fillId="0" borderId="0" xfId="0" applyFont="1"/>
    <xf numFmtId="0" fontId="19" fillId="0" borderId="2" xfId="0" applyFont="1" applyBorder="1" applyAlignment="1">
      <alignment horizontal="center"/>
    </xf>
    <xf numFmtId="14" fontId="0" fillId="3" borderId="1" xfId="3" applyNumberFormat="1" applyFont="1"/>
    <xf numFmtId="3" fontId="15" fillId="9" borderId="2" xfId="1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25" fillId="0" borderId="0" xfId="0" applyFont="1"/>
    <xf numFmtId="8" fontId="26" fillId="2" borderId="2" xfId="2" applyNumberFormat="1" applyFont="1" applyBorder="1"/>
    <xf numFmtId="175" fontId="10" fillId="5" borderId="0" xfId="1" applyNumberFormat="1" applyFont="1" applyFill="1" applyAlignment="1">
      <alignment horizontal="center"/>
    </xf>
  </cellXfs>
  <cellStyles count="5">
    <cellStyle name="Huomautus" xfId="3" builtinId="10"/>
    <cellStyle name="Hyperlinkki" xfId="4" builtinId="8"/>
    <cellStyle name="Hyvä" xfId="2" builtinId="26"/>
    <cellStyle name="Normaali" xfId="0" builtinId="0"/>
    <cellStyle name="Pilkku" xfId="1" builtinId="3"/>
  </cellStyles>
  <dxfs count="18"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-* #,##0_-;\-* #,##0_-;_-* &quot;-&quot;??_-;_-@_-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1"/>
          <bgColor theme="2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FCC"/>
      <color rgb="FFFF0066"/>
      <color rgb="FFDBF0F9"/>
      <color rgb="FFF8E4F6"/>
      <color rgb="FFEFF9EB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31750</xdr:rowOff>
    </xdr:from>
    <xdr:to>
      <xdr:col>6</xdr:col>
      <xdr:colOff>400050</xdr:colOff>
      <xdr:row>1</xdr:row>
      <xdr:rowOff>158750</xdr:rowOff>
    </xdr:to>
    <xdr:sp macro="" textlink="">
      <xdr:nvSpPr>
        <xdr:cNvPr id="2" name="Tekstiruutu 1">
          <a:extLst>
            <a:ext uri="{FF2B5EF4-FFF2-40B4-BE49-F238E27FC236}">
              <a16:creationId xmlns:a16="http://schemas.microsoft.com/office/drawing/2014/main" id="{77CFD949-7CD4-81AD-6775-AB4E4982DB27}"/>
            </a:ext>
          </a:extLst>
        </xdr:cNvPr>
        <xdr:cNvSpPr txBox="1"/>
      </xdr:nvSpPr>
      <xdr:spPr>
        <a:xfrm>
          <a:off x="6350" y="31750"/>
          <a:ext cx="4368800" cy="3111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1"/>
            <a:t>Perusteita: </a:t>
          </a:r>
          <a:r>
            <a:rPr lang="fi-FI" sz="1100" b="1" baseline="0"/>
            <a:t> Excel kaavat ja funktiot.  Kaavoissa esiintyvät soluviittaukset</a:t>
          </a:r>
        </a:p>
        <a:p>
          <a:endParaRPr lang="fi-FI" sz="1100"/>
        </a:p>
      </xdr:txBody>
    </xdr:sp>
    <xdr:clientData/>
  </xdr:twoCellAnchor>
  <xdr:oneCellAnchor>
    <xdr:from>
      <xdr:col>4</xdr:col>
      <xdr:colOff>263525</xdr:colOff>
      <xdr:row>2</xdr:row>
      <xdr:rowOff>82550</xdr:rowOff>
    </xdr:from>
    <xdr:ext cx="269176" cy="4319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kstiruutu 3">
              <a:extLst>
                <a:ext uri="{FF2B5EF4-FFF2-40B4-BE49-F238E27FC236}">
                  <a16:creationId xmlns:a16="http://schemas.microsoft.com/office/drawing/2014/main" id="{7B38C36A-96E5-3BE0-4B19-D9E72CC3584E}"/>
                </a:ext>
              </a:extLst>
            </xdr:cNvPr>
            <xdr:cNvSpPr txBox="1"/>
          </xdr:nvSpPr>
          <xdr:spPr>
            <a:xfrm>
              <a:off x="2917825" y="450850"/>
              <a:ext cx="269176" cy="431913"/>
            </a:xfrm>
            <a:prstGeom prst="rect">
              <a:avLst/>
            </a:prstGeom>
            <a:solidFill>
              <a:schemeClr val="bg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i-FI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i-FI" sz="1400" b="0" i="1">
                            <a:latin typeface="Cambria Math" panose="02040503050406030204" pitchFamily="18" charset="0"/>
                          </a:rPr>
                          <m:t>6</m:t>
                        </m:r>
                      </m:num>
                      <m:den>
                        <m:r>
                          <a:rPr lang="fi-FI" sz="1400" b="0" i="1">
                            <a:latin typeface="Cambria Math" panose="02040503050406030204" pitchFamily="18" charset="0"/>
                          </a:rPr>
                          <m:t>1,5</m:t>
                        </m:r>
                      </m:den>
                    </m:f>
                  </m:oMath>
                </m:oMathPara>
              </a14:m>
              <a:endParaRPr lang="fi-FI" sz="1100"/>
            </a:p>
          </xdr:txBody>
        </xdr:sp>
      </mc:Choice>
      <mc:Fallback xmlns="">
        <xdr:sp macro="" textlink="">
          <xdr:nvSpPr>
            <xdr:cNvPr id="4" name="Tekstiruutu 3">
              <a:extLst>
                <a:ext uri="{FF2B5EF4-FFF2-40B4-BE49-F238E27FC236}">
                  <a16:creationId xmlns:a16="http://schemas.microsoft.com/office/drawing/2014/main" id="{7B38C36A-96E5-3BE0-4B19-D9E72CC3584E}"/>
                </a:ext>
              </a:extLst>
            </xdr:cNvPr>
            <xdr:cNvSpPr txBox="1"/>
          </xdr:nvSpPr>
          <xdr:spPr>
            <a:xfrm>
              <a:off x="2917825" y="450850"/>
              <a:ext cx="269176" cy="431913"/>
            </a:xfrm>
            <a:prstGeom prst="rect">
              <a:avLst/>
            </a:prstGeom>
            <a:solidFill>
              <a:schemeClr val="bg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i-FI" sz="1400" b="0" i="0">
                  <a:latin typeface="Cambria Math" panose="02040503050406030204" pitchFamily="18" charset="0"/>
                </a:rPr>
                <a:t>6/1,5</a:t>
              </a:r>
              <a:endParaRPr lang="fi-FI" sz="1100"/>
            </a:p>
          </xdr:txBody>
        </xdr:sp>
      </mc:Fallback>
    </mc:AlternateContent>
    <xdr:clientData/>
  </xdr:oneCellAnchor>
  <xdr:twoCellAnchor editAs="oneCell">
    <xdr:from>
      <xdr:col>11</xdr:col>
      <xdr:colOff>133350</xdr:colOff>
      <xdr:row>2</xdr:row>
      <xdr:rowOff>25400</xdr:rowOff>
    </xdr:from>
    <xdr:to>
      <xdr:col>16</xdr:col>
      <xdr:colOff>406571</xdr:colOff>
      <xdr:row>15</xdr:row>
      <xdr:rowOff>152530</xdr:rowOff>
    </xdr:to>
    <xdr:pic>
      <xdr:nvPicPr>
        <xdr:cNvPr id="7" name="Kuva 6">
          <a:extLst>
            <a:ext uri="{FF2B5EF4-FFF2-40B4-BE49-F238E27FC236}">
              <a16:creationId xmlns:a16="http://schemas.microsoft.com/office/drawing/2014/main" id="{9A8CB2C7-70E4-5E53-B9B1-066FA70A7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5450" y="393700"/>
          <a:ext cx="3321221" cy="2521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656166</xdr:colOff>
      <xdr:row>1</xdr:row>
      <xdr:rowOff>105833</xdr:rowOff>
    </xdr:from>
    <xdr:to>
      <xdr:col>9</xdr:col>
      <xdr:colOff>112889</xdr:colOff>
      <xdr:row>18</xdr:row>
      <xdr:rowOff>77611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kstiruutu 1">
              <a:extLst>
                <a:ext uri="{FF2B5EF4-FFF2-40B4-BE49-F238E27FC236}">
                  <a16:creationId xmlns:a16="http://schemas.microsoft.com/office/drawing/2014/main" id="{05B5E5BA-BF5D-A924-4FC3-CE552FDF3EF0}"/>
                </a:ext>
              </a:extLst>
            </xdr:cNvPr>
            <xdr:cNvSpPr txBox="1"/>
          </xdr:nvSpPr>
          <xdr:spPr>
            <a:xfrm>
              <a:off x="3344333" y="310444"/>
              <a:ext cx="4621389" cy="3090334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i-FI" sz="1200"/>
                <a:t>Esimerkkitaulukossa</a:t>
              </a:r>
              <a:r>
                <a:rPr lang="fi-FI" sz="1200" baseline="0"/>
                <a:t>, joka on valmiiksi älytaulukkomuodossa, on työntekijöiden nimet ja nykyiset kuukausipalkat, joiden alle on laskettu palkkojen summa.</a:t>
              </a:r>
            </a:p>
            <a:p>
              <a:endParaRPr lang="fi-FI" sz="1200" baseline="0"/>
            </a:p>
            <a:p>
              <a:r>
                <a:rPr lang="fi-FI" sz="1200" baseline="0"/>
                <a:t>Yläpuolelle on tehty syöttösolu palkankorotusprosenttia varten.   </a:t>
              </a:r>
            </a:p>
            <a:p>
              <a:endParaRPr lang="fi-FI" sz="1200" baseline="0"/>
            </a:p>
            <a:p>
              <a:r>
                <a:rPr lang="fi-FI" sz="1200" baseline="0"/>
                <a:t>Lisätään taulukkoon uusi sarake "Uusi palkka".  </a:t>
              </a:r>
              <a:r>
                <a:rPr lang="fi-FI" sz="1200" baseline="0">
                  <a:solidFill>
                    <a:srgbClr val="FF0066"/>
                  </a:solidFill>
                </a:rPr>
                <a:t>Ensimmäisen työntekijän uusi palkka lasketaan kirjoittamalla soluun kaava</a:t>
              </a:r>
            </a:p>
            <a:p>
              <a:r>
                <a:rPr lang="fi-FI" sz="1200" b="1" baseline="0">
                  <a:solidFill>
                    <a:srgbClr val="FF0066"/>
                  </a:solidFill>
                </a:rPr>
                <a:t>=(1+$C$6)*B6</a:t>
              </a:r>
              <a:r>
                <a:rPr lang="fi-FI" sz="1200" baseline="0">
                  <a:solidFill>
                    <a:srgbClr val="FF0066"/>
                  </a:solidFill>
                </a:rPr>
                <a:t>. </a:t>
              </a:r>
              <a:r>
                <a:rPr lang="fi-FI" sz="1200" b="1" baseline="0">
                  <a:solidFill>
                    <a:srgbClr val="FF0066"/>
                  </a:solidFill>
                </a:rPr>
                <a:t> Enter </a:t>
              </a:r>
              <a:r>
                <a:rPr lang="fi-FI" sz="1200" baseline="0">
                  <a:solidFill>
                    <a:srgbClr val="FF0066"/>
                  </a:solidFill>
                </a:rPr>
                <a:t>laskee kaikkien työntekijöiden uudet palkat</a:t>
              </a:r>
            </a:p>
            <a:p>
              <a:r>
                <a:rPr lang="fi-FI" sz="1200" baseline="0">
                  <a:solidFill>
                    <a:srgbClr val="FF0066"/>
                  </a:solidFill>
                </a:rPr>
                <a:t>Alimmalle riville lasketaan summa </a:t>
              </a:r>
              <a14:m>
                <m:oMath xmlns:m="http://schemas.openxmlformats.org/officeDocument/2006/math">
                  <m:r>
                    <a:rPr lang="fi-FI" sz="1200" i="1" baseline="0">
                      <a:solidFill>
                        <a:srgbClr val="FF0066"/>
                      </a:solidFill>
                      <a:latin typeface="Cambria Math" panose="02040503050406030204" pitchFamily="18" charset="0"/>
                    </a:rPr>
                    <m:t>∑</m:t>
                  </m:r>
                </m:oMath>
              </a14:m>
              <a:r>
                <a:rPr lang="fi-FI" sz="1200" baseline="0">
                  <a:solidFill>
                    <a:srgbClr val="FF0066"/>
                  </a:solidFill>
                </a:rPr>
                <a:t> -työkalulla.</a:t>
              </a:r>
            </a:p>
            <a:p>
              <a:endParaRPr lang="fi-FI" sz="1200" baseline="0"/>
            </a:p>
            <a:p>
              <a:r>
                <a:rPr lang="fi-FI" sz="1200" b="1" baseline="0"/>
                <a:t>Dollarimerkit saraketunnuksen ja rivinumeron  edessä viittauksessa </a:t>
              </a:r>
              <a:r>
                <a:rPr lang="fi-FI" sz="1100" b="1" baseline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$C$6</a:t>
              </a:r>
              <a:r>
                <a:rPr lang="fi-FI" sz="1200" b="1" baseline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fi-FI" sz="12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muuttavat viittauksen absoluuttiseksi,  mikä tarkoittaa, että saraketunnus ja rivinumero eivät muutu kaavaa kopioitaesssa.  </a:t>
              </a:r>
              <a:r>
                <a:rPr lang="fi-FI" sz="12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(korkoprosentti löytyy siis aina solusta C6)</a:t>
              </a:r>
              <a:r>
                <a:rPr lang="fi-FI" sz="1200" b="0" baseline="0"/>
                <a:t> </a:t>
              </a:r>
            </a:p>
          </xdr:txBody>
        </xdr:sp>
      </mc:Choice>
      <mc:Fallback>
        <xdr:sp macro="" textlink="">
          <xdr:nvSpPr>
            <xdr:cNvPr id="2" name="Tekstiruutu 1">
              <a:extLst>
                <a:ext uri="{FF2B5EF4-FFF2-40B4-BE49-F238E27FC236}">
                  <a16:creationId xmlns:a16="http://schemas.microsoft.com/office/drawing/2014/main" id="{05B5E5BA-BF5D-A924-4FC3-CE552FDF3EF0}"/>
                </a:ext>
              </a:extLst>
            </xdr:cNvPr>
            <xdr:cNvSpPr txBox="1"/>
          </xdr:nvSpPr>
          <xdr:spPr>
            <a:xfrm>
              <a:off x="3344333" y="310444"/>
              <a:ext cx="4621389" cy="3090334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i-FI" sz="1200"/>
                <a:t>Esimerkkitaulukossa</a:t>
              </a:r>
              <a:r>
                <a:rPr lang="fi-FI" sz="1200" baseline="0"/>
                <a:t>, joka on valmiiksi älytaulukkomuodossa, on työntekijöiden nimet ja nykyiset kuukausipalkat, joiden alle on laskettu palkkojen summa.</a:t>
              </a:r>
            </a:p>
            <a:p>
              <a:endParaRPr lang="fi-FI" sz="1200" baseline="0"/>
            </a:p>
            <a:p>
              <a:r>
                <a:rPr lang="fi-FI" sz="1200" baseline="0"/>
                <a:t>Yläpuolelle on tehty syöttösolu palkankorotusprosenttia varten.   </a:t>
              </a:r>
            </a:p>
            <a:p>
              <a:endParaRPr lang="fi-FI" sz="1200" baseline="0"/>
            </a:p>
            <a:p>
              <a:r>
                <a:rPr lang="fi-FI" sz="1200" baseline="0"/>
                <a:t>Lisätään taulukkoon uusi sarake "Uusi palkka".  </a:t>
              </a:r>
              <a:r>
                <a:rPr lang="fi-FI" sz="1200" baseline="0">
                  <a:solidFill>
                    <a:srgbClr val="FF0066"/>
                  </a:solidFill>
                </a:rPr>
                <a:t>Ensimmäisen työntekijän uusi palkka lasketaan kirjoittamalla soluun kaava</a:t>
              </a:r>
            </a:p>
            <a:p>
              <a:r>
                <a:rPr lang="fi-FI" sz="1200" b="1" baseline="0">
                  <a:solidFill>
                    <a:srgbClr val="FF0066"/>
                  </a:solidFill>
                </a:rPr>
                <a:t>=(1+$C$6)*B6</a:t>
              </a:r>
              <a:r>
                <a:rPr lang="fi-FI" sz="1200" baseline="0">
                  <a:solidFill>
                    <a:srgbClr val="FF0066"/>
                  </a:solidFill>
                </a:rPr>
                <a:t>. </a:t>
              </a:r>
              <a:r>
                <a:rPr lang="fi-FI" sz="1200" b="1" baseline="0">
                  <a:solidFill>
                    <a:srgbClr val="FF0066"/>
                  </a:solidFill>
                </a:rPr>
                <a:t> Enter </a:t>
              </a:r>
              <a:r>
                <a:rPr lang="fi-FI" sz="1200" baseline="0">
                  <a:solidFill>
                    <a:srgbClr val="FF0066"/>
                  </a:solidFill>
                </a:rPr>
                <a:t>laskee kaikkien työntekijöiden uudet palkat</a:t>
              </a:r>
            </a:p>
            <a:p>
              <a:r>
                <a:rPr lang="fi-FI" sz="1200" baseline="0">
                  <a:solidFill>
                    <a:srgbClr val="FF0066"/>
                  </a:solidFill>
                </a:rPr>
                <a:t>Alimmalle riville lasketaan summa </a:t>
              </a:r>
              <a:r>
                <a:rPr lang="fi-FI" sz="1200" i="0" baseline="0">
                  <a:solidFill>
                    <a:srgbClr val="FF0066"/>
                  </a:solidFill>
                  <a:latin typeface="Cambria Math" panose="02040503050406030204" pitchFamily="18" charset="0"/>
                </a:rPr>
                <a:t>∑</a:t>
              </a:r>
              <a:r>
                <a:rPr lang="fi-FI" sz="1200" baseline="0">
                  <a:solidFill>
                    <a:srgbClr val="FF0066"/>
                  </a:solidFill>
                </a:rPr>
                <a:t> -työkalulla.</a:t>
              </a:r>
            </a:p>
            <a:p>
              <a:endParaRPr lang="fi-FI" sz="1200" baseline="0"/>
            </a:p>
            <a:p>
              <a:r>
                <a:rPr lang="fi-FI" sz="1200" b="1" baseline="0"/>
                <a:t>Dollarimerkit saraketunnuksen ja rivinumeron  edessä viittauksessa </a:t>
              </a:r>
              <a:r>
                <a:rPr lang="fi-FI" sz="1100" b="1" baseline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$C$6</a:t>
              </a:r>
              <a:r>
                <a:rPr lang="fi-FI" sz="1200" b="1" baseline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fi-FI" sz="12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muuttavat viittauksen absoluuttiseksi,  mikä tarkoittaa, että saraketunnus ja rivinumero eivät muutu kaavaa kopioitaesssa.  </a:t>
              </a:r>
              <a:r>
                <a:rPr lang="fi-FI" sz="12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(korkoprosentti löytyy siis aina solusta C6)</a:t>
              </a:r>
              <a:r>
                <a:rPr lang="fi-FI" sz="1200" b="0" baseline="0"/>
                <a:t> </a:t>
              </a:r>
            </a:p>
          </xdr:txBody>
        </xdr:sp>
      </mc:Fallback>
    </mc:AlternateContent>
    <xdr:clientData/>
  </xdr:twoCellAnchor>
  <xdr:twoCellAnchor>
    <xdr:from>
      <xdr:col>9</xdr:col>
      <xdr:colOff>366890</xdr:colOff>
      <xdr:row>2</xdr:row>
      <xdr:rowOff>-1</xdr:rowOff>
    </xdr:from>
    <xdr:to>
      <xdr:col>14</xdr:col>
      <xdr:colOff>486834</xdr:colOff>
      <xdr:row>12</xdr:row>
      <xdr:rowOff>127000</xdr:rowOff>
    </xdr:to>
    <xdr:sp macro="" textlink="">
      <xdr:nvSpPr>
        <xdr:cNvPr id="3" name="Tekstiruutu 2">
          <a:extLst>
            <a:ext uri="{FF2B5EF4-FFF2-40B4-BE49-F238E27FC236}">
              <a16:creationId xmlns:a16="http://schemas.microsoft.com/office/drawing/2014/main" id="{6522116A-0FB0-D3D4-7EFE-6666581DCD8C}"/>
            </a:ext>
          </a:extLst>
        </xdr:cNvPr>
        <xdr:cNvSpPr txBox="1"/>
      </xdr:nvSpPr>
      <xdr:spPr>
        <a:xfrm>
          <a:off x="8219723" y="388055"/>
          <a:ext cx="3153833" cy="196144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200" b="1"/>
            <a:t>Absoluuttisen</a:t>
          </a:r>
          <a:r>
            <a:rPr lang="fi-FI" sz="1200" b="1" baseline="0"/>
            <a:t> viittauksen sijasta voidaan käyttää vaihtoehtoista menetelmää:</a:t>
          </a:r>
        </a:p>
        <a:p>
          <a:endParaRPr lang="fi-FI" sz="1200" baseline="0"/>
        </a:p>
        <a:p>
          <a:r>
            <a:rPr lang="fi-FI" sz="1200" baseline="0"/>
            <a:t>Nimetään solu C3 antamalla nimeksi </a:t>
          </a:r>
          <a:r>
            <a:rPr lang="fi-FI" sz="1200" b="1" baseline="0">
              <a:solidFill>
                <a:srgbClr val="C00000"/>
              </a:solidFill>
            </a:rPr>
            <a:t>korko</a:t>
          </a:r>
        </a:p>
        <a:p>
          <a:r>
            <a:rPr lang="fi-FI" sz="1200" baseline="0"/>
            <a:t>välilehdeltä Kaavat löytyvää </a:t>
          </a:r>
          <a:r>
            <a:rPr lang="fi-FI" sz="1200" b="1" baseline="0">
              <a:solidFill>
                <a:srgbClr val="C00000"/>
              </a:solidFill>
            </a:rPr>
            <a:t>Määritetyt nimet </a:t>
          </a:r>
          <a:r>
            <a:rPr lang="fi-FI" sz="1200" baseline="0"/>
            <a:t>työkalua käyttäen.  </a:t>
          </a:r>
        </a:p>
        <a:p>
          <a:endParaRPr lang="fi-FI" sz="1200" baseline="0"/>
        </a:p>
        <a:p>
          <a:r>
            <a:rPr lang="fi-FI" sz="1200" baseline="0"/>
            <a:t>Tällöin solun C6 kaava voidaan kirjoittaa ilman $ merkkejä  </a:t>
          </a:r>
          <a:r>
            <a:rPr lang="fi-FI" sz="1200" baseline="0">
              <a:solidFill>
                <a:srgbClr val="C00000"/>
              </a:solidFill>
            </a:rPr>
            <a:t>= (1+ </a:t>
          </a:r>
          <a:r>
            <a:rPr lang="fi-FI" sz="1200" b="1" baseline="0">
              <a:solidFill>
                <a:srgbClr val="C00000"/>
              </a:solidFill>
            </a:rPr>
            <a:t>korko</a:t>
          </a:r>
          <a:r>
            <a:rPr lang="fi-FI" sz="1200" baseline="0">
              <a:solidFill>
                <a:srgbClr val="C00000"/>
              </a:solidFill>
            </a:rPr>
            <a:t>)*B6</a:t>
          </a:r>
          <a:endParaRPr lang="fi-FI" sz="1100">
            <a:solidFill>
              <a:srgbClr val="C00000"/>
            </a:solidFill>
          </a:endParaRPr>
        </a:p>
      </xdr:txBody>
    </xdr:sp>
    <xdr:clientData/>
  </xdr:twoCellAnchor>
  <xdr:twoCellAnchor editAs="oneCell">
    <xdr:from>
      <xdr:col>0</xdr:col>
      <xdr:colOff>246944</xdr:colOff>
      <xdr:row>20</xdr:row>
      <xdr:rowOff>98778</xdr:rowOff>
    </xdr:from>
    <xdr:to>
      <xdr:col>3</xdr:col>
      <xdr:colOff>3653</xdr:colOff>
      <xdr:row>33</xdr:row>
      <xdr:rowOff>139826</xdr:rowOff>
    </xdr:to>
    <xdr:pic>
      <xdr:nvPicPr>
        <xdr:cNvPr id="4" name="Kuva 3">
          <a:extLst>
            <a:ext uri="{FF2B5EF4-FFF2-40B4-BE49-F238E27FC236}">
              <a16:creationId xmlns:a16="http://schemas.microsoft.com/office/drawing/2014/main" id="{0614B5D9-DC7E-39AC-2BDE-13CE67BA8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944" y="3788834"/>
          <a:ext cx="2444876" cy="2425825"/>
        </a:xfrm>
        <a:prstGeom prst="rect">
          <a:avLst/>
        </a:prstGeom>
        <a:ln w="38100">
          <a:solidFill>
            <a:schemeClr val="accent5">
              <a:lumMod val="60000"/>
              <a:lumOff val="40000"/>
            </a:schemeClr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285751</xdr:colOff>
      <xdr:row>0</xdr:row>
      <xdr:rowOff>146050</xdr:rowOff>
    </xdr:from>
    <xdr:to>
      <xdr:col>11</xdr:col>
      <xdr:colOff>1466850</xdr:colOff>
      <xdr:row>19</xdr:row>
      <xdr:rowOff>25400</xdr:rowOff>
    </xdr:to>
    <xdr:sp macro="" textlink="">
      <xdr:nvSpPr>
        <xdr:cNvPr id="2" name="Tekstiruutu 1">
          <a:extLst>
            <a:ext uri="{FF2B5EF4-FFF2-40B4-BE49-F238E27FC236}">
              <a16:creationId xmlns:a16="http://schemas.microsoft.com/office/drawing/2014/main" id="{658B751B-1D58-4A46-8F30-363537F93BF0}"/>
            </a:ext>
          </a:extLst>
        </xdr:cNvPr>
        <xdr:cNvSpPr txBox="1"/>
      </xdr:nvSpPr>
      <xdr:spPr>
        <a:xfrm>
          <a:off x="3968751" y="146050"/>
          <a:ext cx="4241799" cy="35115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200" b="1" baseline="0"/>
            <a:t>A. Kokeile aluksi, miten funktio MAKSU toimii kirjoittamalla funktio </a:t>
          </a:r>
          <a:r>
            <a:rPr lang="fi-FI" sz="1200" b="1" baseline="0">
              <a:solidFill>
                <a:srgbClr val="FF0000"/>
              </a:solidFill>
            </a:rPr>
            <a:t>= MAKSU (N3/12;N4;N5) </a:t>
          </a:r>
          <a:r>
            <a:rPr lang="fi-FI" sz="1200" b="1" baseline="0"/>
            <a:t>kuukausierälaskurin soluun N7</a:t>
          </a:r>
        </a:p>
        <a:p>
          <a:r>
            <a:rPr lang="fi-F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Korko pitää jakaa luvulla 12, jotta saadaan kk-korko</a:t>
          </a:r>
          <a:endParaRPr lang="fi-FI" sz="1200" baseline="0"/>
        </a:p>
        <a:p>
          <a:endParaRPr lang="fi-FI" sz="1200" b="1" baseline="0"/>
        </a:p>
        <a:p>
          <a:r>
            <a:rPr lang="fi-FI" sz="1200" b="1" baseline="0"/>
            <a:t>B. Laadi kuukausierätaulukko</a:t>
          </a:r>
        </a:p>
        <a:p>
          <a:r>
            <a:rPr lang="fi-FI" sz="1200" b="1" baseline="0">
              <a:solidFill>
                <a:srgbClr val="FF0000"/>
              </a:solidFill>
            </a:rPr>
            <a:t>Tavoite on kirjoittaa vain yksi kaava soluun C6 </a:t>
          </a:r>
        </a:p>
        <a:p>
          <a:r>
            <a:rPr lang="fi-FI" sz="1200" baseline="0"/>
            <a:t>siten, että sen voi turvallisesti kopioida oikealle ja alas</a:t>
          </a:r>
        </a:p>
        <a:p>
          <a:r>
            <a:rPr lang="fi-FI" sz="1200" baseline="0"/>
            <a:t>Ratkaisu: Kaava soluun C6 on kirjoitettava muodossa:</a:t>
          </a:r>
        </a:p>
        <a:p>
          <a:r>
            <a:rPr lang="fi-FI" sz="1200" b="1" baseline="0">
              <a:solidFill>
                <a:srgbClr val="FF0000"/>
              </a:solidFill>
            </a:rPr>
            <a:t>=-MAKSU($C$3/12 ; </a:t>
          </a:r>
          <a:r>
            <a:rPr lang="fi-FI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$B6 ; C$5) </a:t>
          </a:r>
          <a:r>
            <a:rPr lang="fi-FI" sz="1200" b="1" baseline="0">
              <a:solidFill>
                <a:srgbClr val="FF0000"/>
              </a:solidFill>
            </a:rPr>
            <a:t> </a:t>
          </a:r>
        </a:p>
        <a:p>
          <a:endParaRPr lang="fi-FI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i-FI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$C$3   kaksi dollarimerkkiä =&gt;  viittaus korkoon ei muutu kopioitaessa</a:t>
          </a:r>
        </a:p>
        <a:p>
          <a:endParaRPr lang="fi-FI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i-FI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$B6   yksi dollarimerkki saraketunnuksen edessä  kiinnittää sarakkeen, mutta sallii rivinumeron muuttumisen kaavaa kopioitaessa</a:t>
          </a:r>
        </a:p>
        <a:p>
          <a:endParaRPr lang="fi-FI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i-FI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C$5  yksi  dollarimerkki rivinumeron edessä kiinnittää rivinnumeron, mutta sallii sarakkeen muuttumisen kaavaa kopioitaessa.</a:t>
          </a:r>
          <a:endParaRPr lang="fi-FI" sz="1200">
            <a:effectLst/>
          </a:endParaRPr>
        </a:p>
        <a:p>
          <a:endParaRPr lang="fi-FI" sz="1200" b="1" baseline="0">
            <a:solidFill>
              <a:srgbClr val="FF0000"/>
            </a:solidFill>
          </a:endParaRPr>
        </a:p>
        <a:p>
          <a:r>
            <a:rPr lang="fi-FI" sz="1200" b="0" baseline="0">
              <a:solidFill>
                <a:srgbClr val="FF0000"/>
              </a:solidFill>
            </a:rPr>
            <a:t>Kahta jälkimmäistä viittausta sanotaan "sekaviittauksiksi"</a:t>
          </a:r>
          <a:r>
            <a:rPr lang="fi-FI" sz="1200" b="1" baseline="0">
              <a:solidFill>
                <a:srgbClr val="FF0000"/>
              </a:solidFill>
            </a:rPr>
            <a:t>.</a:t>
          </a:r>
        </a:p>
      </xdr:txBody>
    </xdr:sp>
    <xdr:clientData/>
  </xdr:twoCellAnchor>
  <xdr:twoCellAnchor editAs="oneCell">
    <xdr:from>
      <xdr:col>12</xdr:col>
      <xdr:colOff>57150</xdr:colOff>
      <xdr:row>5</xdr:row>
      <xdr:rowOff>12700</xdr:rowOff>
    </xdr:from>
    <xdr:to>
      <xdr:col>17</xdr:col>
      <xdr:colOff>203371</xdr:colOff>
      <xdr:row>12</xdr:row>
      <xdr:rowOff>114376</xdr:rowOff>
    </xdr:to>
    <xdr:pic>
      <xdr:nvPicPr>
        <xdr:cNvPr id="5" name="Kuva 4">
          <a:extLst>
            <a:ext uri="{FF2B5EF4-FFF2-40B4-BE49-F238E27FC236}">
              <a16:creationId xmlns:a16="http://schemas.microsoft.com/office/drawing/2014/main" id="{8F830E10-DA8C-A344-B8F4-0F9B35A9A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8200" y="984250"/>
          <a:ext cx="3321221" cy="14732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0</xdr:row>
      <xdr:rowOff>63500</xdr:rowOff>
    </xdr:from>
    <xdr:to>
      <xdr:col>16</xdr:col>
      <xdr:colOff>336549</xdr:colOff>
      <xdr:row>14</xdr:row>
      <xdr:rowOff>69850</xdr:rowOff>
    </xdr:to>
    <xdr:sp macro="" textlink="">
      <xdr:nvSpPr>
        <xdr:cNvPr id="2" name="Tekstiruutu 1">
          <a:extLst>
            <a:ext uri="{FF2B5EF4-FFF2-40B4-BE49-F238E27FC236}">
              <a16:creationId xmlns:a16="http://schemas.microsoft.com/office/drawing/2014/main" id="{97896EDA-3B0F-4681-B0D5-937C7ABDE486}"/>
            </a:ext>
          </a:extLst>
        </xdr:cNvPr>
        <xdr:cNvSpPr txBox="1"/>
      </xdr:nvSpPr>
      <xdr:spPr>
        <a:xfrm>
          <a:off x="7423150" y="63500"/>
          <a:ext cx="4705349" cy="24955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i-F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Esim c) Taulukossa on 215 maan pinta-alat </a:t>
          </a:r>
          <a:endParaRPr lang="fi-FI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-FI" sz="11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i-FI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-Kannattaa nimetä pinta-alojen alue C2:C215 esim. nimellä </a:t>
          </a:r>
          <a:r>
            <a:rPr lang="fi-FI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alat</a:t>
          </a:r>
          <a:r>
            <a:rPr lang="fi-FI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-FI" sz="1100" b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i-FI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-Älykkässä taulukkomuodossa voidaan tarvittaessa lajitella maat suuruusjärjestykseen pinta-alan suhteen. (kokeile)</a:t>
          </a:r>
          <a:endParaRPr lang="fi-FI" sz="1200" b="0">
            <a:solidFill>
              <a:srgbClr val="FF0000"/>
            </a:solidFill>
            <a:effectLst/>
          </a:endParaRPr>
        </a:p>
        <a:p>
          <a:endParaRPr lang="fi-FI" sz="1200" baseline="0"/>
        </a:p>
        <a:p>
          <a:r>
            <a:rPr lang="fi-FI" sz="1200" baseline="0"/>
            <a:t>1) Laske pinta-alojen a) keskiarvo  b) mediaani c) pienin d) suurin</a:t>
          </a:r>
        </a:p>
        <a:p>
          <a:r>
            <a:rPr lang="fi-FI" sz="1200" baseline="0"/>
            <a:t>Laske lisäksi seuraavat desiilit:   e) P90 ja  f) P10</a:t>
          </a:r>
        </a:p>
        <a:p>
          <a:endParaRPr lang="fi-FI" sz="1200" baseline="0"/>
        </a:p>
        <a:p>
          <a:r>
            <a:rPr lang="fi-FI" sz="1200" baseline="0"/>
            <a:t>2)  </a:t>
          </a:r>
          <a:r>
            <a:rPr lang="fi-FI" sz="1200" baseline="0">
              <a:solidFill>
                <a:srgbClr val="FF0000"/>
              </a:solidFill>
            </a:rPr>
            <a:t>Käytä Excel funktiota </a:t>
          </a:r>
          <a:r>
            <a:rPr lang="fi-FI" sz="1200" b="1" baseline="0">
              <a:solidFill>
                <a:srgbClr val="FF0000"/>
              </a:solidFill>
            </a:rPr>
            <a:t>TAAJUUS laskemaan maiden lukumäärät annetuissa luokissa</a:t>
          </a:r>
          <a:r>
            <a:rPr lang="fi-FI" sz="1200" baseline="0"/>
            <a:t>, kun luokkien ylärajat on annettu. Kokeile myös graafisen esityksen luomista pinta-alajakaumasta.</a:t>
          </a:r>
        </a:p>
        <a:p>
          <a:endParaRPr lang="fi-FI" sz="1200" baseline="0"/>
        </a:p>
      </xdr:txBody>
    </xdr:sp>
    <xdr:clientData/>
  </xdr:twoCellAnchor>
  <xdr:twoCellAnchor editAs="oneCell">
    <xdr:from>
      <xdr:col>5</xdr:col>
      <xdr:colOff>0</xdr:colOff>
      <xdr:row>28</xdr:row>
      <xdr:rowOff>0</xdr:rowOff>
    </xdr:from>
    <xdr:to>
      <xdr:col>7</xdr:col>
      <xdr:colOff>139800</xdr:colOff>
      <xdr:row>34</xdr:row>
      <xdr:rowOff>25456</xdr:rowOff>
    </xdr:to>
    <xdr:pic>
      <xdr:nvPicPr>
        <xdr:cNvPr id="3" name="Kuva 2">
          <a:extLst>
            <a:ext uri="{FF2B5EF4-FFF2-40B4-BE49-F238E27FC236}">
              <a16:creationId xmlns:a16="http://schemas.microsoft.com/office/drawing/2014/main" id="{CA041FC1-CE3B-91F2-E535-7181F9DA2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0600" y="4978400"/>
          <a:ext cx="1949550" cy="1092256"/>
        </a:xfrm>
        <a:prstGeom prst="rect">
          <a:avLst/>
        </a:prstGeom>
      </xdr:spPr>
    </xdr:pic>
    <xdr:clientData/>
  </xdr:twoCellAnchor>
  <xdr:twoCellAnchor editAs="oneCell">
    <xdr:from>
      <xdr:col>8</xdr:col>
      <xdr:colOff>431800</xdr:colOff>
      <xdr:row>26</xdr:row>
      <xdr:rowOff>133350</xdr:rowOff>
    </xdr:from>
    <xdr:to>
      <xdr:col>11</xdr:col>
      <xdr:colOff>95</xdr:colOff>
      <xdr:row>34</xdr:row>
      <xdr:rowOff>146124</xdr:rowOff>
    </xdr:to>
    <xdr:pic>
      <xdr:nvPicPr>
        <xdr:cNvPr id="4" name="Kuva 3">
          <a:extLst>
            <a:ext uri="{FF2B5EF4-FFF2-40B4-BE49-F238E27FC236}">
              <a16:creationId xmlns:a16="http://schemas.microsoft.com/office/drawing/2014/main" id="{2D2E85C5-2298-87A3-EE8B-14C8EFC06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0" y="4756150"/>
          <a:ext cx="1854295" cy="1435174"/>
        </a:xfrm>
        <a:prstGeom prst="rect">
          <a:avLst/>
        </a:prstGeom>
      </xdr:spPr>
    </xdr:pic>
    <xdr:clientData/>
  </xdr:twoCellAnchor>
  <xdr:twoCellAnchor editAs="oneCell">
    <xdr:from>
      <xdr:col>5</xdr:col>
      <xdr:colOff>260350</xdr:colOff>
      <xdr:row>35</xdr:row>
      <xdr:rowOff>50800</xdr:rowOff>
    </xdr:from>
    <xdr:to>
      <xdr:col>10</xdr:col>
      <xdr:colOff>571703</xdr:colOff>
      <xdr:row>48</xdr:row>
      <xdr:rowOff>63619</xdr:rowOff>
    </xdr:to>
    <xdr:pic>
      <xdr:nvPicPr>
        <xdr:cNvPr id="5" name="Kuva 4">
          <a:extLst>
            <a:ext uri="{FF2B5EF4-FFF2-40B4-BE49-F238E27FC236}">
              <a16:creationId xmlns:a16="http://schemas.microsoft.com/office/drawing/2014/main" id="{B26C923C-3626-F032-2EDF-E413F9C02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0950" y="6273800"/>
          <a:ext cx="3949903" cy="23242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9</xdr:col>
      <xdr:colOff>224118</xdr:colOff>
      <xdr:row>1</xdr:row>
      <xdr:rowOff>149412</xdr:rowOff>
    </xdr:to>
    <xdr:sp macro="" textlink="">
      <xdr:nvSpPr>
        <xdr:cNvPr id="4" name="Tekstiruutu 3">
          <a:extLst>
            <a:ext uri="{FF2B5EF4-FFF2-40B4-BE49-F238E27FC236}">
              <a16:creationId xmlns:a16="http://schemas.microsoft.com/office/drawing/2014/main" id="{E0C7E55E-9568-6234-4319-07E6A28E7593}"/>
            </a:ext>
          </a:extLst>
        </xdr:cNvPr>
        <xdr:cNvSpPr txBox="1"/>
      </xdr:nvSpPr>
      <xdr:spPr>
        <a:xfrm>
          <a:off x="1" y="0"/>
          <a:ext cx="7067176" cy="32870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200" b="1"/>
            <a:t>Esim</a:t>
          </a:r>
          <a:r>
            <a:rPr lang="fi-FI" sz="1200" b="1" baseline="0"/>
            <a:t> d) </a:t>
          </a:r>
          <a:r>
            <a:rPr lang="fi-FI" sz="1200" b="1"/>
            <a:t>Käytä JOS- funktiota muuntamaan koepisteet arvioinniksi:  alle</a:t>
          </a:r>
          <a:r>
            <a:rPr lang="fi-FI" sz="1200" b="1" baseline="0"/>
            <a:t> 4p = HYLÄTTY,  muuten HYVÄKSYTTY</a:t>
          </a:r>
          <a:endParaRPr lang="fi-FI" sz="1200" b="1"/>
        </a:p>
      </xdr:txBody>
    </xdr:sp>
    <xdr:clientData/>
  </xdr:twoCellAnchor>
  <xdr:twoCellAnchor>
    <xdr:from>
      <xdr:col>3</xdr:col>
      <xdr:colOff>814294</xdr:colOff>
      <xdr:row>3</xdr:row>
      <xdr:rowOff>124012</xdr:rowOff>
    </xdr:from>
    <xdr:to>
      <xdr:col>8</xdr:col>
      <xdr:colOff>393700</xdr:colOff>
      <xdr:row>17</xdr:row>
      <xdr:rowOff>104588</xdr:rowOff>
    </xdr:to>
    <xdr:sp macro="" textlink="">
      <xdr:nvSpPr>
        <xdr:cNvPr id="6" name="Tekstiruutu 5">
          <a:extLst>
            <a:ext uri="{FF2B5EF4-FFF2-40B4-BE49-F238E27FC236}">
              <a16:creationId xmlns:a16="http://schemas.microsoft.com/office/drawing/2014/main" id="{0F9FFA6F-E0A2-1DAF-BC35-9097DD593587}"/>
            </a:ext>
          </a:extLst>
        </xdr:cNvPr>
        <xdr:cNvSpPr txBox="1"/>
      </xdr:nvSpPr>
      <xdr:spPr>
        <a:xfrm>
          <a:off x="3048000" y="661894"/>
          <a:ext cx="3449171" cy="24906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400">
              <a:solidFill>
                <a:srgbClr val="C00000"/>
              </a:solidFill>
            </a:rPr>
            <a:t>Riittää,</a:t>
          </a:r>
          <a:r>
            <a:rPr lang="fi-FI" sz="1400" baseline="0">
              <a:solidFill>
                <a:srgbClr val="C00000"/>
              </a:solidFill>
            </a:rPr>
            <a:t> kun kirjoittaa JOS funktion  soluun C6  </a:t>
          </a:r>
        </a:p>
        <a:p>
          <a:r>
            <a:rPr lang="fi-FI" sz="1400" baseline="0">
              <a:solidFill>
                <a:srgbClr val="C00000"/>
              </a:solidFill>
            </a:rPr>
            <a:t>muodossa:</a:t>
          </a:r>
        </a:p>
        <a:p>
          <a:endParaRPr lang="fi-FI" sz="1400" b="1" baseline="0">
            <a:solidFill>
              <a:srgbClr val="C00000"/>
            </a:solidFill>
          </a:endParaRPr>
        </a:p>
        <a:p>
          <a:r>
            <a:rPr lang="fi-FI" sz="1400" b="1" baseline="0"/>
            <a:t>=JOS(B6&lt;4; "Hylätty"; "Hyväksytty")</a:t>
          </a:r>
        </a:p>
        <a:p>
          <a:endParaRPr lang="fi-FI" sz="14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i-FI" sz="140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1. argumentti B6&lt; 4  on ehto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i-FI" sz="140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2. argumentti on tulos jos ehto on tosi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i-FI" sz="140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3. argumentti on tulos, jos ehto on epätosi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-FI" sz="1400">
            <a:effectLst/>
          </a:endParaRPr>
        </a:p>
        <a:p>
          <a:r>
            <a:rPr lang="fi-FI" sz="1200"/>
            <a:t>Voit</a:t>
          </a:r>
          <a:r>
            <a:rPr lang="fi-FI" sz="1200" baseline="0"/>
            <a:t> vielä halutessasi käyttää 1. luennolla esillä ollutta Ehdollista muotoilua korostamaan hylätyt arvosanat</a:t>
          </a:r>
          <a:endParaRPr lang="fi-FI" sz="1200"/>
        </a:p>
        <a:p>
          <a:endParaRPr lang="fi-FI" sz="1100"/>
        </a:p>
      </xdr:txBody>
    </xdr:sp>
    <xdr:clientData/>
  </xdr:twoCellAnchor>
  <xdr:twoCellAnchor editAs="oneCell">
    <xdr:from>
      <xdr:col>9</xdr:col>
      <xdr:colOff>605117</xdr:colOff>
      <xdr:row>0</xdr:row>
      <xdr:rowOff>59764</xdr:rowOff>
    </xdr:from>
    <xdr:to>
      <xdr:col>13</xdr:col>
      <xdr:colOff>440764</xdr:colOff>
      <xdr:row>18</xdr:row>
      <xdr:rowOff>154789</xdr:rowOff>
    </xdr:to>
    <xdr:pic>
      <xdr:nvPicPr>
        <xdr:cNvPr id="7" name="Kuva 6">
          <a:extLst>
            <a:ext uri="{FF2B5EF4-FFF2-40B4-BE49-F238E27FC236}">
              <a16:creationId xmlns:a16="http://schemas.microsoft.com/office/drawing/2014/main" id="{9225D9D3-C3FD-2296-BCB2-A5204FE2C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8176" y="59764"/>
          <a:ext cx="2286000" cy="33223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476250</xdr:colOff>
      <xdr:row>4</xdr:row>
      <xdr:rowOff>0</xdr:rowOff>
    </xdr:to>
    <xdr:sp macro="" textlink="">
      <xdr:nvSpPr>
        <xdr:cNvPr id="2" name="Tekstiruutu 1">
          <a:extLst>
            <a:ext uri="{FF2B5EF4-FFF2-40B4-BE49-F238E27FC236}">
              <a16:creationId xmlns:a16="http://schemas.microsoft.com/office/drawing/2014/main" id="{C7B9E996-CB0D-482C-B0EF-F294C0B2B993}"/>
            </a:ext>
          </a:extLst>
        </xdr:cNvPr>
        <xdr:cNvSpPr txBox="1"/>
      </xdr:nvSpPr>
      <xdr:spPr>
        <a:xfrm>
          <a:off x="0" y="0"/>
          <a:ext cx="7181850" cy="7366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1"/>
            <a:t>Esim</a:t>
          </a:r>
          <a:r>
            <a:rPr lang="fi-FI" sz="1100" b="1" baseline="0"/>
            <a:t> e)  PHAKU funktio on suunniteltu tietojen hakuun taulukosta, jossa 1. sarakkeen arvot muodostavat hakuindeksin.</a:t>
          </a:r>
        </a:p>
        <a:p>
          <a:r>
            <a:rPr lang="fi-FI" sz="1100" b="1" baseline="0">
              <a:solidFill>
                <a:srgbClr val="FF0000"/>
              </a:solidFill>
            </a:rPr>
            <a:t>rakenne:   =PHAKU(hakuarvo; taulukon_alue ; sarakenumero)</a:t>
          </a:r>
        </a:p>
        <a:p>
          <a:r>
            <a:rPr lang="fi-FI" sz="1100">
              <a:solidFill>
                <a:schemeClr val="tx1"/>
              </a:solidFill>
            </a:rPr>
            <a:t>All</a:t>
          </a:r>
          <a:r>
            <a:rPr lang="fi-FI" sz="1100" baseline="0">
              <a:solidFill>
                <a:schemeClr val="tx1"/>
              </a:solidFill>
            </a:rPr>
            <a:t>a olevassa esimerkissä haetaan asiakasnumerolla  laskua varten asiakkaan nimi, sekä yhteystiedot</a:t>
          </a:r>
          <a:endParaRPr lang="fi-FI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546100</xdr:colOff>
      <xdr:row>20</xdr:row>
      <xdr:rowOff>95251</xdr:rowOff>
    </xdr:from>
    <xdr:to>
      <xdr:col>16</xdr:col>
      <xdr:colOff>635000</xdr:colOff>
      <xdr:row>28</xdr:row>
      <xdr:rowOff>29953</xdr:rowOff>
    </xdr:to>
    <xdr:pic>
      <xdr:nvPicPr>
        <xdr:cNvPr id="3" name="Kuva 2">
          <a:extLst>
            <a:ext uri="{FF2B5EF4-FFF2-40B4-BE49-F238E27FC236}">
              <a16:creationId xmlns:a16="http://schemas.microsoft.com/office/drawing/2014/main" id="{CC0A8FB2-B752-A32F-8DCA-4E5723FA0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1700" y="3784601"/>
          <a:ext cx="4089400" cy="1407902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15</xdr:row>
      <xdr:rowOff>82550</xdr:rowOff>
    </xdr:from>
    <xdr:to>
      <xdr:col>10</xdr:col>
      <xdr:colOff>0</xdr:colOff>
      <xdr:row>19</xdr:row>
      <xdr:rowOff>171450</xdr:rowOff>
    </xdr:to>
    <xdr:sp macro="" textlink="">
      <xdr:nvSpPr>
        <xdr:cNvPr id="4" name="Tekstiruutu 3">
          <a:extLst>
            <a:ext uri="{FF2B5EF4-FFF2-40B4-BE49-F238E27FC236}">
              <a16:creationId xmlns:a16="http://schemas.microsoft.com/office/drawing/2014/main" id="{4D35D57A-3C1B-E99F-B17C-C6E73EB3E83F}"/>
            </a:ext>
          </a:extLst>
        </xdr:cNvPr>
        <xdr:cNvSpPr txBox="1"/>
      </xdr:nvSpPr>
      <xdr:spPr>
        <a:xfrm>
          <a:off x="615950" y="2851150"/>
          <a:ext cx="5689600" cy="825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/>
            <a:t>Kirjoita soluihin B12 - B15  PHAKU</a:t>
          </a:r>
          <a:r>
            <a:rPr lang="fi-FI" sz="1100" baseline="0"/>
            <a:t> funktio, joka hakee asiakasnumeron perusteella asiakasrekisteristä asiakkaan tiedot ao. malli mukaisesti. </a:t>
          </a:r>
        </a:p>
        <a:p>
          <a:r>
            <a:rPr lang="fi-FI" sz="1100"/>
            <a:t>Kirjoita Eräpäivään</a:t>
          </a:r>
          <a:r>
            <a:rPr lang="fi-FI" sz="1100" baseline="0"/>
            <a:t> laskukaava, joka lisää toimituspäivään maksuehtojen mukaisen määrän päiviä</a:t>
          </a:r>
        </a:p>
        <a:p>
          <a:r>
            <a:rPr lang="fi-FI" sz="1100" baseline="0"/>
            <a:t>(Muista muotoilla solu päivämäärä muotoon, jos se on tavallisessa lukumuorossa)</a:t>
          </a:r>
          <a:endParaRPr lang="fi-FI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0</xdr:row>
      <xdr:rowOff>82550</xdr:rowOff>
    </xdr:from>
    <xdr:to>
      <xdr:col>12</xdr:col>
      <xdr:colOff>184150</xdr:colOff>
      <xdr:row>5</xdr:row>
      <xdr:rowOff>6350</xdr:rowOff>
    </xdr:to>
    <xdr:sp macro="" textlink="">
      <xdr:nvSpPr>
        <xdr:cNvPr id="2" name="Tekstiruutu 1">
          <a:extLst>
            <a:ext uri="{FF2B5EF4-FFF2-40B4-BE49-F238E27FC236}">
              <a16:creationId xmlns:a16="http://schemas.microsoft.com/office/drawing/2014/main" id="{75F67D80-77A4-AA3A-6A3B-D460E8612076}"/>
            </a:ext>
          </a:extLst>
        </xdr:cNvPr>
        <xdr:cNvSpPr txBox="1"/>
      </xdr:nvSpPr>
      <xdr:spPr>
        <a:xfrm>
          <a:off x="177800" y="82550"/>
          <a:ext cx="8959850" cy="8445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Esim.</a:t>
          </a:r>
          <a:r>
            <a:rPr lang="fi-FI" sz="1100" b="1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f)  </a:t>
          </a:r>
          <a:r>
            <a:rPr lang="fi-FI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Mm. verotuksessa tyypillisten sääntöjen toteuttaminen, joihin sisältyy omavastuu, sekä suurin ja pienin arvo.</a:t>
          </a:r>
          <a:endParaRPr lang="fi-FI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i-FI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TYÖMATKAKULUJEN</a:t>
          </a:r>
          <a:r>
            <a:rPr lang="fi-FI" sz="1100" b="1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VEROVÄHENNYKSEN LASKUKAAVA  :    </a:t>
          </a:r>
          <a:r>
            <a:rPr lang="fi-FI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(Vuoden matkakulut – omavastuu 900 euroa) = vähennettävä summa</a:t>
          </a:r>
          <a:r>
            <a:rPr lang="fi-FI"/>
            <a:t>, enintään </a:t>
          </a:r>
          <a:r>
            <a:rPr lang="fi-FI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7 000 euroa </a:t>
          </a:r>
          <a:r>
            <a:rPr lang="fi-FI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Kirjoita</a:t>
          </a:r>
          <a:r>
            <a:rPr lang="fi-FI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soluun C9 kaava, joka laskee vähennyksen kaikissa mahdollisissa tapauksissa  oikein. </a:t>
          </a:r>
        </a:p>
        <a:p>
          <a:r>
            <a:rPr lang="fi-FI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Kopioi kaava oikealle sarakkeeseen K saakka testataksesi kaavan oikeellisuuden</a:t>
          </a:r>
          <a:endParaRPr lang="fi-FI" sz="1100" b="0"/>
        </a:p>
      </xdr:txBody>
    </xdr:sp>
    <xdr:clientData/>
  </xdr:twoCellAnchor>
  <xdr:twoCellAnchor>
    <xdr:from>
      <xdr:col>1</xdr:col>
      <xdr:colOff>1562100</xdr:colOff>
      <xdr:row>9</xdr:row>
      <xdr:rowOff>82550</xdr:rowOff>
    </xdr:from>
    <xdr:to>
      <xdr:col>4</xdr:col>
      <xdr:colOff>152400</xdr:colOff>
      <xdr:row>16</xdr:row>
      <xdr:rowOff>88900</xdr:rowOff>
    </xdr:to>
    <xdr:sp macro="" textlink="">
      <xdr:nvSpPr>
        <xdr:cNvPr id="3" name="Kuvaselite: Nuoli ylös 2">
          <a:extLst>
            <a:ext uri="{FF2B5EF4-FFF2-40B4-BE49-F238E27FC236}">
              <a16:creationId xmlns:a16="http://schemas.microsoft.com/office/drawing/2014/main" id="{CB93A915-5529-24AD-3B8A-6987D920A300}"/>
            </a:ext>
          </a:extLst>
        </xdr:cNvPr>
        <xdr:cNvSpPr/>
      </xdr:nvSpPr>
      <xdr:spPr>
        <a:xfrm>
          <a:off x="2171700" y="1739900"/>
          <a:ext cx="2057400" cy="1295400"/>
        </a:xfrm>
        <a:prstGeom prst="upArrowCallou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i-FI" sz="1200" b="1"/>
            <a:t>=min(maks(C7-900;0);7000</a:t>
          </a:r>
          <a:r>
            <a:rPr lang="fi-FI" sz="1100"/>
            <a:t>)</a:t>
          </a:r>
        </a:p>
        <a:p>
          <a:pPr algn="l"/>
          <a:endParaRPr lang="fi-FI" sz="1100"/>
        </a:p>
        <a:p>
          <a:pPr algn="l"/>
          <a:r>
            <a:rPr lang="fi-FI" sz="1100"/>
            <a:t>Min</a:t>
          </a:r>
          <a:r>
            <a:rPr lang="fi-FI" sz="1100" baseline="0"/>
            <a:t> ja maks funktioilla rajataan vähennys välille [0, 70000]</a:t>
          </a:r>
          <a:endParaRPr lang="fi-FI" sz="1100"/>
        </a:p>
        <a:p>
          <a:pPr algn="l"/>
          <a:endParaRPr lang="fi-FI" sz="1100"/>
        </a:p>
      </xdr:txBody>
    </xdr:sp>
    <xdr:clientData/>
  </xdr:twoCellAnchor>
  <xdr:twoCellAnchor editAs="oneCell">
    <xdr:from>
      <xdr:col>10</xdr:col>
      <xdr:colOff>84353</xdr:colOff>
      <xdr:row>9</xdr:row>
      <xdr:rowOff>69850</xdr:rowOff>
    </xdr:from>
    <xdr:to>
      <xdr:col>15</xdr:col>
      <xdr:colOff>469901</xdr:colOff>
      <xdr:row>19</xdr:row>
      <xdr:rowOff>38245</xdr:rowOff>
    </xdr:to>
    <xdr:pic>
      <xdr:nvPicPr>
        <xdr:cNvPr id="7" name="Kuva 6">
          <a:extLst>
            <a:ext uri="{FF2B5EF4-FFF2-40B4-BE49-F238E27FC236}">
              <a16:creationId xmlns:a16="http://schemas.microsoft.com/office/drawing/2014/main" id="{84699A82-B91A-098D-9515-EB5B36D23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8653" y="1727200"/>
          <a:ext cx="3433548" cy="18098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11</xdr:col>
      <xdr:colOff>323850</xdr:colOff>
      <xdr:row>4</xdr:row>
      <xdr:rowOff>38100</xdr:rowOff>
    </xdr:to>
    <xdr:sp macro="" textlink="">
      <xdr:nvSpPr>
        <xdr:cNvPr id="2" name="Tekstiruutu 1">
          <a:extLst>
            <a:ext uri="{FF2B5EF4-FFF2-40B4-BE49-F238E27FC236}">
              <a16:creationId xmlns:a16="http://schemas.microsoft.com/office/drawing/2014/main" id="{E9AF85D6-0842-4A94-BAA2-083B22B76B41}"/>
            </a:ext>
          </a:extLst>
        </xdr:cNvPr>
        <xdr:cNvSpPr txBox="1"/>
      </xdr:nvSpPr>
      <xdr:spPr>
        <a:xfrm>
          <a:off x="0" y="38100"/>
          <a:ext cx="7181850" cy="7366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1"/>
            <a:t>Esim. g</a:t>
          </a:r>
          <a:r>
            <a:rPr lang="fi-FI" sz="1100" b="1" baseline="0"/>
            <a:t>)  Käytä automaattista sarjan muodosta täydentämään a) viikonpäivälyhenteet Ruokalista- taulukkoon</a:t>
          </a:r>
        </a:p>
        <a:p>
          <a:r>
            <a:rPr lang="fi-FI" sz="1100" b="1" baseline="0">
              <a:solidFill>
                <a:schemeClr val="tx1"/>
              </a:solidFill>
            </a:rPr>
            <a:t>b) kuukaudet keskilämpötilataulukkoon   c) juoksevat numerot asiakasrekisteriin  d) perättäisten sunnuntaipäivien päivämäärät alkaen 4.10.2026 marraskuun loppuun asti.</a:t>
          </a:r>
          <a:endParaRPr lang="fi-FI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304800</xdr:colOff>
      <xdr:row>2</xdr:row>
      <xdr:rowOff>152400</xdr:rowOff>
    </xdr:from>
    <xdr:to>
      <xdr:col>15</xdr:col>
      <xdr:colOff>279400</xdr:colOff>
      <xdr:row>13</xdr:row>
      <xdr:rowOff>171450</xdr:rowOff>
    </xdr:to>
    <xdr:sp macro="" textlink="">
      <xdr:nvSpPr>
        <xdr:cNvPr id="3" name="Tekstiruutu 2">
          <a:extLst>
            <a:ext uri="{FF2B5EF4-FFF2-40B4-BE49-F238E27FC236}">
              <a16:creationId xmlns:a16="http://schemas.microsoft.com/office/drawing/2014/main" id="{76B0AB06-E55B-65EC-803F-086E7BA15431}"/>
            </a:ext>
          </a:extLst>
        </xdr:cNvPr>
        <xdr:cNvSpPr txBox="1"/>
      </xdr:nvSpPr>
      <xdr:spPr>
        <a:xfrm>
          <a:off x="8185150" y="520700"/>
          <a:ext cx="1803400" cy="204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>
              <a:solidFill>
                <a:srgbClr val="C00000"/>
              </a:solidFill>
            </a:rPr>
            <a:t>Huom!</a:t>
          </a:r>
        </a:p>
        <a:p>
          <a:endParaRPr lang="fi-FI" sz="1100">
            <a:solidFill>
              <a:srgbClr val="C00000"/>
            </a:solidFill>
          </a:endParaRPr>
        </a:p>
        <a:p>
          <a:r>
            <a:rPr lang="fi-FI" sz="1100">
              <a:solidFill>
                <a:srgbClr val="C00000"/>
              </a:solidFill>
            </a:rPr>
            <a:t>Luvuissa</a:t>
          </a:r>
          <a:r>
            <a:rPr lang="fi-FI" sz="1100" baseline="0">
              <a:solidFill>
                <a:srgbClr val="C00000"/>
              </a:solidFill>
            </a:rPr>
            <a:t> ja päivämäärissä kirjoitetaan sarjan kaksi ensimmäistä lukua/päivämäärää alekkain.</a:t>
          </a:r>
        </a:p>
        <a:p>
          <a:endParaRPr lang="fi-FI" sz="1100" baseline="0">
            <a:solidFill>
              <a:srgbClr val="C00000"/>
            </a:solidFill>
          </a:endParaRPr>
        </a:p>
        <a:p>
          <a:r>
            <a:rPr lang="fi-FI" sz="1100" baseline="0">
              <a:solidFill>
                <a:srgbClr val="C00000"/>
              </a:solidFill>
            </a:rPr>
            <a:t>Sitten valitaan nämä kaksi solua ja kopioidaan alas hiirellä vetämällä alueean alakulman neliöstä.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31750</xdr:rowOff>
    </xdr:from>
    <xdr:to>
      <xdr:col>12</xdr:col>
      <xdr:colOff>596900</xdr:colOff>
      <xdr:row>3</xdr:row>
      <xdr:rowOff>177800</xdr:rowOff>
    </xdr:to>
    <xdr:sp macro="" textlink="">
      <xdr:nvSpPr>
        <xdr:cNvPr id="2" name="Tekstiruutu 1">
          <a:extLst>
            <a:ext uri="{FF2B5EF4-FFF2-40B4-BE49-F238E27FC236}">
              <a16:creationId xmlns:a16="http://schemas.microsoft.com/office/drawing/2014/main" id="{77F3C16B-3E4F-46E4-AD22-BBAA1360D6C6}"/>
            </a:ext>
          </a:extLst>
        </xdr:cNvPr>
        <xdr:cNvSpPr txBox="1"/>
      </xdr:nvSpPr>
      <xdr:spPr>
        <a:xfrm>
          <a:off x="63500" y="31750"/>
          <a:ext cx="8788400" cy="698500"/>
        </a:xfrm>
        <a:prstGeom prst="rect">
          <a:avLst/>
        </a:prstGeom>
        <a:solidFill>
          <a:srgbClr val="DBF0F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1"/>
            <a:t>Esim.</a:t>
          </a:r>
          <a:r>
            <a:rPr lang="fi-FI" sz="1100" b="1" baseline="0"/>
            <a:t> h) Pikatäydennys työkalu </a:t>
          </a:r>
          <a:r>
            <a:rPr lang="fi-FI" sz="1100" b="0" baseline="0"/>
            <a:t>löytyy </a:t>
          </a:r>
          <a:r>
            <a:rPr lang="fi-FI" sz="1100" b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Tiedot -</a:t>
          </a:r>
          <a:r>
            <a:rPr lang="fi-FI" sz="1100" b="0" baseline="0">
              <a:solidFill>
                <a:srgbClr val="C00000"/>
              </a:solidFill>
            </a:rPr>
            <a:t>välilehden Datatyökaluista (yläriviltä).   </a:t>
          </a:r>
          <a:r>
            <a:rPr lang="fi-FI" sz="1100" b="0" baseline="0"/>
            <a:t>Se on </a:t>
          </a:r>
          <a:r>
            <a:rPr lang="fi-FI" sz="1100" b="1" baseline="0">
              <a:solidFill>
                <a:srgbClr val="C00000"/>
              </a:solidFill>
            </a:rPr>
            <a:t>tekoälypohjainen työkalu</a:t>
          </a:r>
          <a:r>
            <a:rPr lang="fi-FI" sz="1100" b="0" baseline="0"/>
            <a:t>, joka perustuu malli.oppimiseen.   Sillä voi esim. erottaa nimestä etunimen ja sukunimen, ja edelleen muodostaa niistä vaikkapa sähköpostiosoitteen</a:t>
          </a:r>
        </a:p>
        <a:p>
          <a:r>
            <a:rPr lang="fi-FI" sz="1100" b="1" u="sng" baseline="0">
              <a:solidFill>
                <a:sysClr val="windowText" lastClr="000000"/>
              </a:solidFill>
            </a:rPr>
            <a:t>Ohje: Kirjoita ylimmälle riville (rivi 7) malliesimerkin ja painaa Enter  JA </a:t>
          </a:r>
          <a:r>
            <a:rPr lang="fi-FI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käytä </a:t>
          </a:r>
          <a:r>
            <a:rPr lang="fi-FI" sz="1100" b="1" u="sng" baseline="0">
              <a:solidFill>
                <a:sysClr val="windowText" lastClr="000000"/>
              </a:solidFill>
            </a:rPr>
            <a:t>tämän jälkeen  (Tiedot-) Pikatäydennys työkalua seuraavalla riviillä</a:t>
          </a:r>
          <a:endParaRPr lang="fi-FI" sz="1100" b="1" u="sng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80472</xdr:colOff>
      <xdr:row>7</xdr:row>
      <xdr:rowOff>6350</xdr:rowOff>
    </xdr:from>
    <xdr:to>
      <xdr:col>15</xdr:col>
      <xdr:colOff>330444</xdr:colOff>
      <xdr:row>16</xdr:row>
      <xdr:rowOff>57257</xdr:rowOff>
    </xdr:to>
    <xdr:pic>
      <xdr:nvPicPr>
        <xdr:cNvPr id="3" name="Kuva 2">
          <a:extLst>
            <a:ext uri="{FF2B5EF4-FFF2-40B4-BE49-F238E27FC236}">
              <a16:creationId xmlns:a16="http://schemas.microsoft.com/office/drawing/2014/main" id="{61CD627B-11AC-9554-74E4-E664623BE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6672" y="1295400"/>
          <a:ext cx="3907572" cy="17082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286EE-D425-490E-8743-DEB07CD72E98}" name="Taulukko1" displayName="Taulukko1" ref="B49:E53" totalsRowShown="0" headerRowDxfId="17" dataDxfId="16" tableBorderDxfId="15">
  <autoFilter ref="B49:E53" xr:uid="{FBB286EE-D425-490E-8743-DEB07CD72E98}"/>
  <tableColumns count="4">
    <tableColumn id="1" xr3:uid="{2E31A46A-1D8E-4C4D-B8D2-AEF56FC475C0}" name="ajokm" dataDxfId="3"/>
    <tableColumn id="2" xr3:uid="{B4018756-470E-4A49-ADBC-9E24052EB02C}" name="kulutus/100 km" dataDxfId="2"/>
    <tableColumn id="3" xr3:uid="{D1F02F83-68B7-434D-BDF5-FCCEBC6EF64A}" name="litrahinta (D)" dataDxfId="0"/>
    <tableColumn id="4" xr3:uid="{93025EC7-82FE-4804-9D5E-223FFFD032EA}" name="matkakustannukse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FF5B88-B759-4E94-A28C-0EEAAFA32E02}" name="Taulukko2" displayName="Taulukko2" ref="A5:C18" totalsRowCount="1" headerRowDxfId="14" tableBorderDxfId="13">
  <autoFilter ref="A5:C17" xr:uid="{8CFF5B88-B759-4E94-A28C-0EEAAFA32E02}"/>
  <tableColumns count="3">
    <tableColumn id="1" xr3:uid="{7D2D91F5-A728-474A-9B28-182D7996B676}" name="Nimi" totalsRowLabel="palkkasumma" dataDxfId="12" totalsRowDxfId="11"/>
    <tableColumn id="2" xr3:uid="{338DD055-9986-4927-8436-AF8FB3261163}" name="Nyk. palkka" totalsRowFunction="sum" dataDxfId="10" totalsRowDxfId="9" dataCellStyle="Pilkku" totalsRowCellStyle="Pilkku"/>
    <tableColumn id="3" xr3:uid="{62EAF5EA-C100-4E62-B51D-957EE3EB834D}" name="Uusi palkka" dataDxfId="8" totalsRowDxfId="7" dataCellStyle="Pilkku" totalsRowCellStyle="Pilkku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915E6C-6A29-43BE-BF7C-082ECC251F60}" name="Taulukko3" displayName="Taulukko3" ref="B1:C215" totalsRowShown="0" tableBorderDxfId="6">
  <autoFilter ref="B1:C215" xr:uid="{F7915E6C-6A29-43BE-BF7C-082ECC251F60}"/>
  <sortState xmlns:xlrd2="http://schemas.microsoft.com/office/spreadsheetml/2017/richdata2" ref="B2:C215">
    <sortCondition ref="B1:B215"/>
  </sortState>
  <tableColumns count="2">
    <tableColumn id="1" xr3:uid="{F398FA26-BEEE-4637-BD5C-E6789BB3DED8}" name="Maa" dataDxfId="5"/>
    <tableColumn id="2" xr3:uid="{00B69694-224A-4E8E-AA30-8F7FF2867F20}" name="Pinta-ala km2" dataDxfId="4" dataCellStyle="Pilkku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ometers.info/world-population/mali-population/" TargetMode="External"/><Relationship Id="rId21" Type="http://schemas.openxmlformats.org/officeDocument/2006/relationships/hyperlink" Target="https://www.worldometers.info/world-population/benin-population/" TargetMode="External"/><Relationship Id="rId42" Type="http://schemas.openxmlformats.org/officeDocument/2006/relationships/hyperlink" Target="https://www.worldometers.info/world-population/colombia-population/" TargetMode="External"/><Relationship Id="rId63" Type="http://schemas.openxmlformats.org/officeDocument/2006/relationships/hyperlink" Target="https://www.worldometers.info/world-population/estonia-population/" TargetMode="External"/><Relationship Id="rId84" Type="http://schemas.openxmlformats.org/officeDocument/2006/relationships/hyperlink" Target="https://www.worldometers.info/world-population/guyana-population/" TargetMode="External"/><Relationship Id="rId138" Type="http://schemas.openxmlformats.org/officeDocument/2006/relationships/hyperlink" Target="https://www.worldometers.info/world-population/nicaragua-population/" TargetMode="External"/><Relationship Id="rId159" Type="http://schemas.openxmlformats.org/officeDocument/2006/relationships/hyperlink" Target="https://www.worldometers.info/world-population/rwanda-population/" TargetMode="External"/><Relationship Id="rId170" Type="http://schemas.openxmlformats.org/officeDocument/2006/relationships/hyperlink" Target="https://www.worldometers.info/world-population/singapore-population/" TargetMode="External"/><Relationship Id="rId191" Type="http://schemas.openxmlformats.org/officeDocument/2006/relationships/hyperlink" Target="https://www.worldometers.info/world-population/timor-leste-population/" TargetMode="External"/><Relationship Id="rId205" Type="http://schemas.openxmlformats.org/officeDocument/2006/relationships/hyperlink" Target="https://www.worldometers.info/world-population/us-population/" TargetMode="External"/><Relationship Id="rId107" Type="http://schemas.openxmlformats.org/officeDocument/2006/relationships/hyperlink" Target="https://www.worldometers.info/world-population/liberia-population/" TargetMode="External"/><Relationship Id="rId11" Type="http://schemas.openxmlformats.org/officeDocument/2006/relationships/hyperlink" Target="https://www.worldometers.info/world-population/australia-population/" TargetMode="External"/><Relationship Id="rId32" Type="http://schemas.openxmlformats.org/officeDocument/2006/relationships/hyperlink" Target="https://www.worldometers.info/world-population/cabo-verde-population/" TargetMode="External"/><Relationship Id="rId53" Type="http://schemas.openxmlformats.org/officeDocument/2006/relationships/hyperlink" Target="https://www.worldometers.info/world-population/denmark-population/" TargetMode="External"/><Relationship Id="rId74" Type="http://schemas.openxmlformats.org/officeDocument/2006/relationships/hyperlink" Target="https://www.worldometers.info/world-population/germany-population/" TargetMode="External"/><Relationship Id="rId128" Type="http://schemas.openxmlformats.org/officeDocument/2006/relationships/hyperlink" Target="https://www.worldometers.info/world-population/montenegro-population/" TargetMode="External"/><Relationship Id="rId149" Type="http://schemas.openxmlformats.org/officeDocument/2006/relationships/hyperlink" Target="https://www.worldometers.info/world-population/papua-new-guinea-population/" TargetMode="External"/><Relationship Id="rId5" Type="http://schemas.openxmlformats.org/officeDocument/2006/relationships/hyperlink" Target="https://www.worldometers.info/world-population/andorra-population/" TargetMode="External"/><Relationship Id="rId95" Type="http://schemas.openxmlformats.org/officeDocument/2006/relationships/hyperlink" Target="https://www.worldometers.info/world-population/italy-population/" TargetMode="External"/><Relationship Id="rId160" Type="http://schemas.openxmlformats.org/officeDocument/2006/relationships/hyperlink" Target="https://www.worldometers.info/world-population/saint-helena-population/" TargetMode="External"/><Relationship Id="rId181" Type="http://schemas.openxmlformats.org/officeDocument/2006/relationships/hyperlink" Target="https://www.worldometers.info/world-population/saint-vincent-and-the-grenadines-population/" TargetMode="External"/><Relationship Id="rId216" Type="http://schemas.openxmlformats.org/officeDocument/2006/relationships/table" Target="../tables/table3.xml"/><Relationship Id="rId22" Type="http://schemas.openxmlformats.org/officeDocument/2006/relationships/hyperlink" Target="https://www.worldometers.info/world-population/bermuda-population/" TargetMode="External"/><Relationship Id="rId43" Type="http://schemas.openxmlformats.org/officeDocument/2006/relationships/hyperlink" Target="https://www.worldometers.info/world-population/comoros-population/" TargetMode="External"/><Relationship Id="rId64" Type="http://schemas.openxmlformats.org/officeDocument/2006/relationships/hyperlink" Target="https://www.worldometers.info/world-population/swaziland-population/" TargetMode="External"/><Relationship Id="rId118" Type="http://schemas.openxmlformats.org/officeDocument/2006/relationships/hyperlink" Target="https://www.worldometers.info/world-population/malta-population/" TargetMode="External"/><Relationship Id="rId139" Type="http://schemas.openxmlformats.org/officeDocument/2006/relationships/hyperlink" Target="https://www.worldometers.info/world-population/niger-population/" TargetMode="External"/><Relationship Id="rId85" Type="http://schemas.openxmlformats.org/officeDocument/2006/relationships/hyperlink" Target="https://www.worldometers.info/world-population/haiti-population/" TargetMode="External"/><Relationship Id="rId150" Type="http://schemas.openxmlformats.org/officeDocument/2006/relationships/hyperlink" Target="https://www.worldometers.info/world-population/paraguay-population/" TargetMode="External"/><Relationship Id="rId171" Type="http://schemas.openxmlformats.org/officeDocument/2006/relationships/hyperlink" Target="https://www.worldometers.info/world-population/sint-maarten-population/" TargetMode="External"/><Relationship Id="rId192" Type="http://schemas.openxmlformats.org/officeDocument/2006/relationships/hyperlink" Target="https://www.worldometers.info/world-population/togo-population/" TargetMode="External"/><Relationship Id="rId206" Type="http://schemas.openxmlformats.org/officeDocument/2006/relationships/hyperlink" Target="https://www.worldometers.info/world-population/uruguay-population/" TargetMode="External"/><Relationship Id="rId12" Type="http://schemas.openxmlformats.org/officeDocument/2006/relationships/hyperlink" Target="https://www.worldometers.info/world-population/austria-population/" TargetMode="External"/><Relationship Id="rId33" Type="http://schemas.openxmlformats.org/officeDocument/2006/relationships/hyperlink" Target="https://www.worldometers.info/world-population/cambodia-population/" TargetMode="External"/><Relationship Id="rId108" Type="http://schemas.openxmlformats.org/officeDocument/2006/relationships/hyperlink" Target="https://www.worldometers.info/world-population/libya-population/" TargetMode="External"/><Relationship Id="rId129" Type="http://schemas.openxmlformats.org/officeDocument/2006/relationships/hyperlink" Target="https://www.worldometers.info/world-population/morocco-population/" TargetMode="External"/><Relationship Id="rId54" Type="http://schemas.openxmlformats.org/officeDocument/2006/relationships/hyperlink" Target="https://www.worldometers.info/world-population/djibouti-population/" TargetMode="External"/><Relationship Id="rId75" Type="http://schemas.openxmlformats.org/officeDocument/2006/relationships/hyperlink" Target="https://www.worldometers.info/world-population/ghana-population/" TargetMode="External"/><Relationship Id="rId96" Type="http://schemas.openxmlformats.org/officeDocument/2006/relationships/hyperlink" Target="https://www.worldometers.info/world-population/jamaica-population/" TargetMode="External"/><Relationship Id="rId140" Type="http://schemas.openxmlformats.org/officeDocument/2006/relationships/hyperlink" Target="https://www.worldometers.info/world-population/nigeria-population/" TargetMode="External"/><Relationship Id="rId161" Type="http://schemas.openxmlformats.org/officeDocument/2006/relationships/hyperlink" Target="https://www.worldometers.info/world-population/saint-lucia-population/" TargetMode="External"/><Relationship Id="rId182" Type="http://schemas.openxmlformats.org/officeDocument/2006/relationships/hyperlink" Target="https://www.worldometers.info/world-population/sudan-population/" TargetMode="External"/><Relationship Id="rId6" Type="http://schemas.openxmlformats.org/officeDocument/2006/relationships/hyperlink" Target="https://www.worldometers.info/world-population/angola-population/" TargetMode="External"/><Relationship Id="rId23" Type="http://schemas.openxmlformats.org/officeDocument/2006/relationships/hyperlink" Target="https://www.worldometers.info/world-population/bhutan-population/" TargetMode="External"/><Relationship Id="rId119" Type="http://schemas.openxmlformats.org/officeDocument/2006/relationships/hyperlink" Target="https://www.worldometers.info/world-population/martinique-population/" TargetMode="External"/><Relationship Id="rId44" Type="http://schemas.openxmlformats.org/officeDocument/2006/relationships/hyperlink" Target="https://www.worldometers.info/world-population/congo-population/" TargetMode="External"/><Relationship Id="rId65" Type="http://schemas.openxmlformats.org/officeDocument/2006/relationships/hyperlink" Target="https://www.worldometers.info/world-population/ethiopia-population/" TargetMode="External"/><Relationship Id="rId86" Type="http://schemas.openxmlformats.org/officeDocument/2006/relationships/hyperlink" Target="https://www.worldometers.info/world-population/honduras-population/" TargetMode="External"/><Relationship Id="rId130" Type="http://schemas.openxmlformats.org/officeDocument/2006/relationships/hyperlink" Target="https://www.worldometers.info/world-population/mozambique-population/" TargetMode="External"/><Relationship Id="rId151" Type="http://schemas.openxmlformats.org/officeDocument/2006/relationships/hyperlink" Target="https://www.worldometers.info/world-population/peru-population/" TargetMode="External"/><Relationship Id="rId172" Type="http://schemas.openxmlformats.org/officeDocument/2006/relationships/hyperlink" Target="https://www.worldometers.info/world-population/slovakia-population/" TargetMode="External"/><Relationship Id="rId193" Type="http://schemas.openxmlformats.org/officeDocument/2006/relationships/hyperlink" Target="https://www.worldometers.info/world-population/tokelau-population/" TargetMode="External"/><Relationship Id="rId207" Type="http://schemas.openxmlformats.org/officeDocument/2006/relationships/hyperlink" Target="https://www.worldometers.info/world-population/uzbekistan-population/" TargetMode="External"/><Relationship Id="rId13" Type="http://schemas.openxmlformats.org/officeDocument/2006/relationships/hyperlink" Target="https://www.worldometers.info/world-population/azerbaijan-population/" TargetMode="External"/><Relationship Id="rId109" Type="http://schemas.openxmlformats.org/officeDocument/2006/relationships/hyperlink" Target="https://www.worldometers.info/world-population/liechtenstein-population/" TargetMode="External"/><Relationship Id="rId34" Type="http://schemas.openxmlformats.org/officeDocument/2006/relationships/hyperlink" Target="https://www.worldometers.info/world-population/cameroon-population/" TargetMode="External"/><Relationship Id="rId55" Type="http://schemas.openxmlformats.org/officeDocument/2006/relationships/hyperlink" Target="https://www.worldometers.info/world-population/dominica-population/" TargetMode="External"/><Relationship Id="rId76" Type="http://schemas.openxmlformats.org/officeDocument/2006/relationships/hyperlink" Target="https://www.worldometers.info/world-population/greece-population/" TargetMode="External"/><Relationship Id="rId97" Type="http://schemas.openxmlformats.org/officeDocument/2006/relationships/hyperlink" Target="https://www.worldometers.info/world-population/japan-population/" TargetMode="External"/><Relationship Id="rId120" Type="http://schemas.openxmlformats.org/officeDocument/2006/relationships/hyperlink" Target="https://www.worldometers.info/world-population/mauritania-population/" TargetMode="External"/><Relationship Id="rId141" Type="http://schemas.openxmlformats.org/officeDocument/2006/relationships/hyperlink" Target="https://www.worldometers.info/world-population/niue-population/" TargetMode="External"/><Relationship Id="rId7" Type="http://schemas.openxmlformats.org/officeDocument/2006/relationships/hyperlink" Target="https://www.worldometers.info/world-population/anguilla-population/" TargetMode="External"/><Relationship Id="rId162" Type="http://schemas.openxmlformats.org/officeDocument/2006/relationships/hyperlink" Target="https://www.worldometers.info/world-population/saint-martin-population/" TargetMode="External"/><Relationship Id="rId183" Type="http://schemas.openxmlformats.org/officeDocument/2006/relationships/hyperlink" Target="https://www.worldometers.info/world-population/suriname-population/" TargetMode="External"/><Relationship Id="rId24" Type="http://schemas.openxmlformats.org/officeDocument/2006/relationships/hyperlink" Target="https://www.worldometers.info/world-population/bolivia-population/" TargetMode="External"/><Relationship Id="rId45" Type="http://schemas.openxmlformats.org/officeDocument/2006/relationships/hyperlink" Target="https://www.worldometers.info/world-population/cook-islands-population/" TargetMode="External"/><Relationship Id="rId66" Type="http://schemas.openxmlformats.org/officeDocument/2006/relationships/hyperlink" Target="https://www.worldometers.info/world-population/faeroe-islands-population/" TargetMode="External"/><Relationship Id="rId87" Type="http://schemas.openxmlformats.org/officeDocument/2006/relationships/hyperlink" Target="https://www.worldometers.info/world-population/hungary-population/" TargetMode="External"/><Relationship Id="rId110" Type="http://schemas.openxmlformats.org/officeDocument/2006/relationships/hyperlink" Target="https://www.worldometers.info/world-population/lithuania-population/" TargetMode="External"/><Relationship Id="rId131" Type="http://schemas.openxmlformats.org/officeDocument/2006/relationships/hyperlink" Target="https://www.worldometers.info/world-population/myanmar-population/" TargetMode="External"/><Relationship Id="rId152" Type="http://schemas.openxmlformats.org/officeDocument/2006/relationships/hyperlink" Target="https://www.worldometers.info/world-population/philippines-population/" TargetMode="External"/><Relationship Id="rId173" Type="http://schemas.openxmlformats.org/officeDocument/2006/relationships/hyperlink" Target="https://www.worldometers.info/world-population/slovenia-population/" TargetMode="External"/><Relationship Id="rId194" Type="http://schemas.openxmlformats.org/officeDocument/2006/relationships/hyperlink" Target="https://www.worldometers.info/world-population/tonga-population/" TargetMode="External"/><Relationship Id="rId208" Type="http://schemas.openxmlformats.org/officeDocument/2006/relationships/hyperlink" Target="https://www.worldometers.info/world-population/vanuatu-population/" TargetMode="External"/><Relationship Id="rId19" Type="http://schemas.openxmlformats.org/officeDocument/2006/relationships/hyperlink" Target="https://www.worldometers.info/world-population/belgium-population/" TargetMode="External"/><Relationship Id="rId14" Type="http://schemas.openxmlformats.org/officeDocument/2006/relationships/hyperlink" Target="https://www.worldometers.info/world-population/bahamas-population/" TargetMode="External"/><Relationship Id="rId30" Type="http://schemas.openxmlformats.org/officeDocument/2006/relationships/hyperlink" Target="https://www.worldometers.info/world-population/burkina-faso-population/" TargetMode="External"/><Relationship Id="rId35" Type="http://schemas.openxmlformats.org/officeDocument/2006/relationships/hyperlink" Target="https://www.worldometers.info/world-population/canada-population/" TargetMode="External"/><Relationship Id="rId56" Type="http://schemas.openxmlformats.org/officeDocument/2006/relationships/hyperlink" Target="https://www.worldometers.info/world-population/dominican-republic-population/" TargetMode="External"/><Relationship Id="rId77" Type="http://schemas.openxmlformats.org/officeDocument/2006/relationships/hyperlink" Target="https://www.worldometers.info/world-population/greenland-population/" TargetMode="External"/><Relationship Id="rId100" Type="http://schemas.openxmlformats.org/officeDocument/2006/relationships/hyperlink" Target="https://www.worldometers.info/world-population/kenya-population/" TargetMode="External"/><Relationship Id="rId105" Type="http://schemas.openxmlformats.org/officeDocument/2006/relationships/hyperlink" Target="https://www.worldometers.info/world-population/lebanon-population/" TargetMode="External"/><Relationship Id="rId126" Type="http://schemas.openxmlformats.org/officeDocument/2006/relationships/hyperlink" Target="https://www.worldometers.info/world-population/monaco-population/" TargetMode="External"/><Relationship Id="rId147" Type="http://schemas.openxmlformats.org/officeDocument/2006/relationships/hyperlink" Target="https://www.worldometers.info/world-population/palau-population/" TargetMode="External"/><Relationship Id="rId168" Type="http://schemas.openxmlformats.org/officeDocument/2006/relationships/hyperlink" Target="https://www.worldometers.info/world-population/seychelles-population/" TargetMode="External"/><Relationship Id="rId8" Type="http://schemas.openxmlformats.org/officeDocument/2006/relationships/hyperlink" Target="https://www.worldometers.info/world-population/argentina-population/" TargetMode="External"/><Relationship Id="rId51" Type="http://schemas.openxmlformats.org/officeDocument/2006/relationships/hyperlink" Target="https://www.worldometers.info/world-population/cyprus-population/" TargetMode="External"/><Relationship Id="rId72" Type="http://schemas.openxmlformats.org/officeDocument/2006/relationships/hyperlink" Target="https://www.worldometers.info/world-population/gambia-population/" TargetMode="External"/><Relationship Id="rId93" Type="http://schemas.openxmlformats.org/officeDocument/2006/relationships/hyperlink" Target="https://www.worldometers.info/world-population/ireland-population/" TargetMode="External"/><Relationship Id="rId98" Type="http://schemas.openxmlformats.org/officeDocument/2006/relationships/hyperlink" Target="https://www.worldometers.info/world-population/jordan-population/" TargetMode="External"/><Relationship Id="rId121" Type="http://schemas.openxmlformats.org/officeDocument/2006/relationships/hyperlink" Target="https://www.worldometers.info/world-population/mauritius-population/" TargetMode="External"/><Relationship Id="rId142" Type="http://schemas.openxmlformats.org/officeDocument/2006/relationships/hyperlink" Target="https://www.worldometers.info/world-population/north-korea-population/" TargetMode="External"/><Relationship Id="rId163" Type="http://schemas.openxmlformats.org/officeDocument/2006/relationships/hyperlink" Target="https://www.worldometers.info/world-population/samoa-population/" TargetMode="External"/><Relationship Id="rId184" Type="http://schemas.openxmlformats.org/officeDocument/2006/relationships/hyperlink" Target="https://www.worldometers.info/world-population/sweden-population/" TargetMode="External"/><Relationship Id="rId189" Type="http://schemas.openxmlformats.org/officeDocument/2006/relationships/hyperlink" Target="https://www.worldometers.info/world-population/tanzania-population/" TargetMode="External"/><Relationship Id="rId3" Type="http://schemas.openxmlformats.org/officeDocument/2006/relationships/hyperlink" Target="https://www.worldometers.info/world-population/algeria-population/" TargetMode="External"/><Relationship Id="rId214" Type="http://schemas.openxmlformats.org/officeDocument/2006/relationships/hyperlink" Target="https://www.worldometers.info/world-population/zimbabwe-population/" TargetMode="External"/><Relationship Id="rId25" Type="http://schemas.openxmlformats.org/officeDocument/2006/relationships/hyperlink" Target="https://www.worldometers.info/world-population/bosnia-and-herzegovina-population/" TargetMode="External"/><Relationship Id="rId46" Type="http://schemas.openxmlformats.org/officeDocument/2006/relationships/hyperlink" Target="https://www.worldometers.info/world-population/costa-rica-population/" TargetMode="External"/><Relationship Id="rId67" Type="http://schemas.openxmlformats.org/officeDocument/2006/relationships/hyperlink" Target="https://www.worldometers.info/world-population/falkland-islands-malvinas-population/" TargetMode="External"/><Relationship Id="rId116" Type="http://schemas.openxmlformats.org/officeDocument/2006/relationships/hyperlink" Target="https://www.worldometers.info/world-population/maldives-population/" TargetMode="External"/><Relationship Id="rId137" Type="http://schemas.openxmlformats.org/officeDocument/2006/relationships/hyperlink" Target="https://www.worldometers.info/world-population/new-zealand-population/" TargetMode="External"/><Relationship Id="rId158" Type="http://schemas.openxmlformats.org/officeDocument/2006/relationships/hyperlink" Target="https://www.worldometers.info/world-population/russia-population/" TargetMode="External"/><Relationship Id="rId20" Type="http://schemas.openxmlformats.org/officeDocument/2006/relationships/hyperlink" Target="https://www.worldometers.info/world-population/belize-population/" TargetMode="External"/><Relationship Id="rId41" Type="http://schemas.openxmlformats.org/officeDocument/2006/relationships/hyperlink" Target="https://www.worldometers.info/world-population/china-population/" TargetMode="External"/><Relationship Id="rId62" Type="http://schemas.openxmlformats.org/officeDocument/2006/relationships/hyperlink" Target="https://www.worldometers.info/world-population/eritrea-population/" TargetMode="External"/><Relationship Id="rId83" Type="http://schemas.openxmlformats.org/officeDocument/2006/relationships/hyperlink" Target="https://www.worldometers.info/world-population/guinea-bissau-population/" TargetMode="External"/><Relationship Id="rId88" Type="http://schemas.openxmlformats.org/officeDocument/2006/relationships/hyperlink" Target="https://www.worldometers.info/world-population/iceland-population/" TargetMode="External"/><Relationship Id="rId111" Type="http://schemas.openxmlformats.org/officeDocument/2006/relationships/hyperlink" Target="https://www.worldometers.info/world-population/luxembourg-population/" TargetMode="External"/><Relationship Id="rId132" Type="http://schemas.openxmlformats.org/officeDocument/2006/relationships/hyperlink" Target="https://www.worldometers.info/world-population/namibia-population/" TargetMode="External"/><Relationship Id="rId153" Type="http://schemas.openxmlformats.org/officeDocument/2006/relationships/hyperlink" Target="https://www.worldometers.info/world-population/poland-population/" TargetMode="External"/><Relationship Id="rId174" Type="http://schemas.openxmlformats.org/officeDocument/2006/relationships/hyperlink" Target="https://www.worldometers.info/world-population/solomon-islands-population/" TargetMode="External"/><Relationship Id="rId179" Type="http://schemas.openxmlformats.org/officeDocument/2006/relationships/hyperlink" Target="https://www.worldometers.info/world-population/spain-population/" TargetMode="External"/><Relationship Id="rId195" Type="http://schemas.openxmlformats.org/officeDocument/2006/relationships/hyperlink" Target="https://www.worldometers.info/world-population/trinidad-and-tobago-population/" TargetMode="External"/><Relationship Id="rId209" Type="http://schemas.openxmlformats.org/officeDocument/2006/relationships/hyperlink" Target="https://www.worldometers.info/world-population/venezuela-population/" TargetMode="External"/><Relationship Id="rId190" Type="http://schemas.openxmlformats.org/officeDocument/2006/relationships/hyperlink" Target="https://www.worldometers.info/world-population/thailand-population/" TargetMode="External"/><Relationship Id="rId204" Type="http://schemas.openxmlformats.org/officeDocument/2006/relationships/hyperlink" Target="https://www.worldometers.info/world-population/uk-population/" TargetMode="External"/><Relationship Id="rId15" Type="http://schemas.openxmlformats.org/officeDocument/2006/relationships/hyperlink" Target="https://www.worldometers.info/world-population/bahrain-population/" TargetMode="External"/><Relationship Id="rId36" Type="http://schemas.openxmlformats.org/officeDocument/2006/relationships/hyperlink" Target="https://www.worldometers.info/world-population/caribbean-netherlands-population/" TargetMode="External"/><Relationship Id="rId57" Type="http://schemas.openxmlformats.org/officeDocument/2006/relationships/hyperlink" Target="https://www.worldometers.info/world-population/democratic-republic-of-the-congo-population/" TargetMode="External"/><Relationship Id="rId106" Type="http://schemas.openxmlformats.org/officeDocument/2006/relationships/hyperlink" Target="https://www.worldometers.info/world-population/lesotho-population/" TargetMode="External"/><Relationship Id="rId127" Type="http://schemas.openxmlformats.org/officeDocument/2006/relationships/hyperlink" Target="https://www.worldometers.info/world-population/mongolia-population/" TargetMode="External"/><Relationship Id="rId10" Type="http://schemas.openxmlformats.org/officeDocument/2006/relationships/hyperlink" Target="https://www.worldometers.info/world-population/aruba-population/" TargetMode="External"/><Relationship Id="rId31" Type="http://schemas.openxmlformats.org/officeDocument/2006/relationships/hyperlink" Target="https://www.worldometers.info/world-population/burundi-population/" TargetMode="External"/><Relationship Id="rId52" Type="http://schemas.openxmlformats.org/officeDocument/2006/relationships/hyperlink" Target="https://www.worldometers.info/world-population/czech-republic-population/" TargetMode="External"/><Relationship Id="rId73" Type="http://schemas.openxmlformats.org/officeDocument/2006/relationships/hyperlink" Target="https://www.worldometers.info/world-population/georgia-population/" TargetMode="External"/><Relationship Id="rId78" Type="http://schemas.openxmlformats.org/officeDocument/2006/relationships/hyperlink" Target="https://www.worldometers.info/world-population/grenada-population/" TargetMode="External"/><Relationship Id="rId94" Type="http://schemas.openxmlformats.org/officeDocument/2006/relationships/hyperlink" Target="https://www.worldometers.info/world-population/israel-population/" TargetMode="External"/><Relationship Id="rId99" Type="http://schemas.openxmlformats.org/officeDocument/2006/relationships/hyperlink" Target="https://www.worldometers.info/world-population/kazakhstan-population/" TargetMode="External"/><Relationship Id="rId101" Type="http://schemas.openxmlformats.org/officeDocument/2006/relationships/hyperlink" Target="https://www.worldometers.info/world-population/kuwait-population/" TargetMode="External"/><Relationship Id="rId122" Type="http://schemas.openxmlformats.org/officeDocument/2006/relationships/hyperlink" Target="https://www.worldometers.info/world-population/mayotte-population/" TargetMode="External"/><Relationship Id="rId143" Type="http://schemas.openxmlformats.org/officeDocument/2006/relationships/hyperlink" Target="https://www.worldometers.info/world-population/macedonia-population/" TargetMode="External"/><Relationship Id="rId148" Type="http://schemas.openxmlformats.org/officeDocument/2006/relationships/hyperlink" Target="https://www.worldometers.info/world-population/panama-population/" TargetMode="External"/><Relationship Id="rId164" Type="http://schemas.openxmlformats.org/officeDocument/2006/relationships/hyperlink" Target="https://www.worldometers.info/world-population/san-marino-population/" TargetMode="External"/><Relationship Id="rId169" Type="http://schemas.openxmlformats.org/officeDocument/2006/relationships/hyperlink" Target="https://www.worldometers.info/world-population/sierra-leone-population/" TargetMode="External"/><Relationship Id="rId185" Type="http://schemas.openxmlformats.org/officeDocument/2006/relationships/hyperlink" Target="https://www.worldometers.info/world-population/switzerland-population/" TargetMode="External"/><Relationship Id="rId4" Type="http://schemas.openxmlformats.org/officeDocument/2006/relationships/hyperlink" Target="https://www.worldometers.info/world-population/american-samoa-population/" TargetMode="External"/><Relationship Id="rId9" Type="http://schemas.openxmlformats.org/officeDocument/2006/relationships/hyperlink" Target="https://www.worldometers.info/world-population/armenia-population/" TargetMode="External"/><Relationship Id="rId180" Type="http://schemas.openxmlformats.org/officeDocument/2006/relationships/hyperlink" Target="https://www.worldometers.info/world-population/sri-lanka-population/" TargetMode="External"/><Relationship Id="rId210" Type="http://schemas.openxmlformats.org/officeDocument/2006/relationships/hyperlink" Target="https://www.worldometers.info/world-population/vietnam-population/" TargetMode="External"/><Relationship Id="rId215" Type="http://schemas.openxmlformats.org/officeDocument/2006/relationships/drawing" Target="../drawings/drawing4.xml"/><Relationship Id="rId26" Type="http://schemas.openxmlformats.org/officeDocument/2006/relationships/hyperlink" Target="https://www.worldometers.info/world-population/botswana-population/" TargetMode="External"/><Relationship Id="rId47" Type="http://schemas.openxmlformats.org/officeDocument/2006/relationships/hyperlink" Target="https://www.worldometers.info/world-population/cote-d-ivoire-population/" TargetMode="External"/><Relationship Id="rId68" Type="http://schemas.openxmlformats.org/officeDocument/2006/relationships/hyperlink" Target="https://www.worldometers.info/world-population/fiji-population/" TargetMode="External"/><Relationship Id="rId89" Type="http://schemas.openxmlformats.org/officeDocument/2006/relationships/hyperlink" Target="https://www.worldometers.info/world-population/india-population/" TargetMode="External"/><Relationship Id="rId112" Type="http://schemas.openxmlformats.org/officeDocument/2006/relationships/hyperlink" Target="https://www.worldometers.info/world-population/china-macao-sar-population/" TargetMode="External"/><Relationship Id="rId133" Type="http://schemas.openxmlformats.org/officeDocument/2006/relationships/hyperlink" Target="https://www.worldometers.info/world-population/nauru-population/" TargetMode="External"/><Relationship Id="rId154" Type="http://schemas.openxmlformats.org/officeDocument/2006/relationships/hyperlink" Target="https://www.worldometers.info/world-population/portugal-population/" TargetMode="External"/><Relationship Id="rId175" Type="http://schemas.openxmlformats.org/officeDocument/2006/relationships/hyperlink" Target="https://www.worldometers.info/world-population/somalia-population/" TargetMode="External"/><Relationship Id="rId196" Type="http://schemas.openxmlformats.org/officeDocument/2006/relationships/hyperlink" Target="https://www.worldometers.info/world-population/tunisia-population/" TargetMode="External"/><Relationship Id="rId200" Type="http://schemas.openxmlformats.org/officeDocument/2006/relationships/hyperlink" Target="https://www.worldometers.info/world-population/tuvalu-population/" TargetMode="External"/><Relationship Id="rId16" Type="http://schemas.openxmlformats.org/officeDocument/2006/relationships/hyperlink" Target="https://www.worldometers.info/world-population/bangladesh-population/" TargetMode="External"/><Relationship Id="rId37" Type="http://schemas.openxmlformats.org/officeDocument/2006/relationships/hyperlink" Target="https://www.worldometers.info/world-population/cayman-islands-population/" TargetMode="External"/><Relationship Id="rId58" Type="http://schemas.openxmlformats.org/officeDocument/2006/relationships/hyperlink" Target="https://www.worldometers.info/world-population/ecuador-population/" TargetMode="External"/><Relationship Id="rId79" Type="http://schemas.openxmlformats.org/officeDocument/2006/relationships/hyperlink" Target="https://www.worldometers.info/world-population/guadeloupe-population/" TargetMode="External"/><Relationship Id="rId102" Type="http://schemas.openxmlformats.org/officeDocument/2006/relationships/hyperlink" Target="https://www.worldometers.info/world-population/kyrgyzstan-population/" TargetMode="External"/><Relationship Id="rId123" Type="http://schemas.openxmlformats.org/officeDocument/2006/relationships/hyperlink" Target="https://www.worldometers.info/world-population/mexico-population/" TargetMode="External"/><Relationship Id="rId144" Type="http://schemas.openxmlformats.org/officeDocument/2006/relationships/hyperlink" Target="https://www.worldometers.info/world-population/norway-population/" TargetMode="External"/><Relationship Id="rId90" Type="http://schemas.openxmlformats.org/officeDocument/2006/relationships/hyperlink" Target="https://www.worldometers.info/world-population/indonesia-population/" TargetMode="External"/><Relationship Id="rId165" Type="http://schemas.openxmlformats.org/officeDocument/2006/relationships/hyperlink" Target="https://www.worldometers.info/world-population/saudi-arabia-population/" TargetMode="External"/><Relationship Id="rId186" Type="http://schemas.openxmlformats.org/officeDocument/2006/relationships/hyperlink" Target="https://www.worldometers.info/world-population/syria-population/" TargetMode="External"/><Relationship Id="rId211" Type="http://schemas.openxmlformats.org/officeDocument/2006/relationships/hyperlink" Target="https://www.worldometers.info/world-population/western-sahara-population/" TargetMode="External"/><Relationship Id="rId27" Type="http://schemas.openxmlformats.org/officeDocument/2006/relationships/hyperlink" Target="https://www.worldometers.info/world-population/brazil-population/" TargetMode="External"/><Relationship Id="rId48" Type="http://schemas.openxmlformats.org/officeDocument/2006/relationships/hyperlink" Target="https://www.worldometers.info/world-population/croatia-population/" TargetMode="External"/><Relationship Id="rId69" Type="http://schemas.openxmlformats.org/officeDocument/2006/relationships/hyperlink" Target="https://www.worldometers.info/world-population/finland-population/" TargetMode="External"/><Relationship Id="rId113" Type="http://schemas.openxmlformats.org/officeDocument/2006/relationships/hyperlink" Target="https://www.worldometers.info/world-population/madagascar-population/" TargetMode="External"/><Relationship Id="rId134" Type="http://schemas.openxmlformats.org/officeDocument/2006/relationships/hyperlink" Target="https://www.worldometers.info/world-population/nepal-population/" TargetMode="External"/><Relationship Id="rId80" Type="http://schemas.openxmlformats.org/officeDocument/2006/relationships/hyperlink" Target="https://www.worldometers.info/world-population/guam-population/" TargetMode="External"/><Relationship Id="rId155" Type="http://schemas.openxmlformats.org/officeDocument/2006/relationships/hyperlink" Target="https://www.worldometers.info/world-population/puerto-rico-population/" TargetMode="External"/><Relationship Id="rId176" Type="http://schemas.openxmlformats.org/officeDocument/2006/relationships/hyperlink" Target="https://www.worldometers.info/world-population/south-africa-population/" TargetMode="External"/><Relationship Id="rId197" Type="http://schemas.openxmlformats.org/officeDocument/2006/relationships/hyperlink" Target="https://www.worldometers.info/world-population/turkey-population/" TargetMode="External"/><Relationship Id="rId201" Type="http://schemas.openxmlformats.org/officeDocument/2006/relationships/hyperlink" Target="https://www.worldometers.info/world-population/uganda-population/" TargetMode="External"/><Relationship Id="rId17" Type="http://schemas.openxmlformats.org/officeDocument/2006/relationships/hyperlink" Target="https://www.worldometers.info/world-population/barbados-population/" TargetMode="External"/><Relationship Id="rId38" Type="http://schemas.openxmlformats.org/officeDocument/2006/relationships/hyperlink" Target="https://www.worldometers.info/world-population/central-african-republic-population/" TargetMode="External"/><Relationship Id="rId59" Type="http://schemas.openxmlformats.org/officeDocument/2006/relationships/hyperlink" Target="https://www.worldometers.info/world-population/egypt-population/" TargetMode="External"/><Relationship Id="rId103" Type="http://schemas.openxmlformats.org/officeDocument/2006/relationships/hyperlink" Target="https://www.worldometers.info/world-population/laos-population/" TargetMode="External"/><Relationship Id="rId124" Type="http://schemas.openxmlformats.org/officeDocument/2006/relationships/hyperlink" Target="https://www.worldometers.info/world-population/micronesia-population/" TargetMode="External"/><Relationship Id="rId70" Type="http://schemas.openxmlformats.org/officeDocument/2006/relationships/hyperlink" Target="https://www.worldometers.info/world-population/france-population/" TargetMode="External"/><Relationship Id="rId91" Type="http://schemas.openxmlformats.org/officeDocument/2006/relationships/hyperlink" Target="https://www.worldometers.info/world-population/iran-population/" TargetMode="External"/><Relationship Id="rId145" Type="http://schemas.openxmlformats.org/officeDocument/2006/relationships/hyperlink" Target="https://www.worldometers.info/world-population/oman-population/" TargetMode="External"/><Relationship Id="rId166" Type="http://schemas.openxmlformats.org/officeDocument/2006/relationships/hyperlink" Target="https://www.worldometers.info/world-population/senegal-population/" TargetMode="External"/><Relationship Id="rId187" Type="http://schemas.openxmlformats.org/officeDocument/2006/relationships/hyperlink" Target="https://www.worldometers.info/world-population/taiwan-population/" TargetMode="External"/><Relationship Id="rId1" Type="http://schemas.openxmlformats.org/officeDocument/2006/relationships/hyperlink" Target="https://www.worldometers.info/world-population/afghanistan-population/" TargetMode="External"/><Relationship Id="rId212" Type="http://schemas.openxmlformats.org/officeDocument/2006/relationships/hyperlink" Target="https://www.worldometers.info/world-population/yemen-population/" TargetMode="External"/><Relationship Id="rId28" Type="http://schemas.openxmlformats.org/officeDocument/2006/relationships/hyperlink" Target="https://www.worldometers.info/world-population/brunei-darussalam-population/" TargetMode="External"/><Relationship Id="rId49" Type="http://schemas.openxmlformats.org/officeDocument/2006/relationships/hyperlink" Target="https://www.worldometers.info/world-population/cuba-population/" TargetMode="External"/><Relationship Id="rId114" Type="http://schemas.openxmlformats.org/officeDocument/2006/relationships/hyperlink" Target="https://www.worldometers.info/world-population/malawi-population/" TargetMode="External"/><Relationship Id="rId60" Type="http://schemas.openxmlformats.org/officeDocument/2006/relationships/hyperlink" Target="https://www.worldometers.info/world-population/el-salvador-population/" TargetMode="External"/><Relationship Id="rId81" Type="http://schemas.openxmlformats.org/officeDocument/2006/relationships/hyperlink" Target="https://www.worldometers.info/world-population/guatemala-population/" TargetMode="External"/><Relationship Id="rId135" Type="http://schemas.openxmlformats.org/officeDocument/2006/relationships/hyperlink" Target="https://www.worldometers.info/world-population/netherlands-population/" TargetMode="External"/><Relationship Id="rId156" Type="http://schemas.openxmlformats.org/officeDocument/2006/relationships/hyperlink" Target="https://www.worldometers.info/world-population/qatar-population/" TargetMode="External"/><Relationship Id="rId177" Type="http://schemas.openxmlformats.org/officeDocument/2006/relationships/hyperlink" Target="https://www.worldometers.info/world-population/south-korea-population/" TargetMode="External"/><Relationship Id="rId198" Type="http://schemas.openxmlformats.org/officeDocument/2006/relationships/hyperlink" Target="https://www.worldometers.info/world-population/turkmenistan-population/" TargetMode="External"/><Relationship Id="rId202" Type="http://schemas.openxmlformats.org/officeDocument/2006/relationships/hyperlink" Target="https://www.worldometers.info/world-population/ukraine-population/" TargetMode="External"/><Relationship Id="rId18" Type="http://schemas.openxmlformats.org/officeDocument/2006/relationships/hyperlink" Target="https://www.worldometers.info/world-population/belarus-population/" TargetMode="External"/><Relationship Id="rId39" Type="http://schemas.openxmlformats.org/officeDocument/2006/relationships/hyperlink" Target="https://www.worldometers.info/world-population/chad-population/" TargetMode="External"/><Relationship Id="rId50" Type="http://schemas.openxmlformats.org/officeDocument/2006/relationships/hyperlink" Target="https://www.worldometers.info/world-population/curacao-population/" TargetMode="External"/><Relationship Id="rId104" Type="http://schemas.openxmlformats.org/officeDocument/2006/relationships/hyperlink" Target="https://www.worldometers.info/world-population/latvia-population/" TargetMode="External"/><Relationship Id="rId125" Type="http://schemas.openxmlformats.org/officeDocument/2006/relationships/hyperlink" Target="https://www.worldometers.info/world-population/moldova-population/" TargetMode="External"/><Relationship Id="rId146" Type="http://schemas.openxmlformats.org/officeDocument/2006/relationships/hyperlink" Target="https://www.worldometers.info/world-population/pakistan-population/" TargetMode="External"/><Relationship Id="rId167" Type="http://schemas.openxmlformats.org/officeDocument/2006/relationships/hyperlink" Target="https://www.worldometers.info/world-population/serbia-population/" TargetMode="External"/><Relationship Id="rId188" Type="http://schemas.openxmlformats.org/officeDocument/2006/relationships/hyperlink" Target="https://www.worldometers.info/world-population/tajikistan-population/" TargetMode="External"/><Relationship Id="rId71" Type="http://schemas.openxmlformats.org/officeDocument/2006/relationships/hyperlink" Target="https://www.worldometers.info/world-population/gabon-population/" TargetMode="External"/><Relationship Id="rId92" Type="http://schemas.openxmlformats.org/officeDocument/2006/relationships/hyperlink" Target="https://www.worldometers.info/world-population/iraq-population/" TargetMode="External"/><Relationship Id="rId213" Type="http://schemas.openxmlformats.org/officeDocument/2006/relationships/hyperlink" Target="https://www.worldometers.info/world-population/zambia-population/" TargetMode="External"/><Relationship Id="rId2" Type="http://schemas.openxmlformats.org/officeDocument/2006/relationships/hyperlink" Target="https://www.worldometers.info/world-population/albania-population/" TargetMode="External"/><Relationship Id="rId29" Type="http://schemas.openxmlformats.org/officeDocument/2006/relationships/hyperlink" Target="https://www.worldometers.info/world-population/bulgaria-population/" TargetMode="External"/><Relationship Id="rId40" Type="http://schemas.openxmlformats.org/officeDocument/2006/relationships/hyperlink" Target="https://www.worldometers.info/world-population/chile-population/" TargetMode="External"/><Relationship Id="rId115" Type="http://schemas.openxmlformats.org/officeDocument/2006/relationships/hyperlink" Target="https://www.worldometers.info/world-population/malaysia-population/" TargetMode="External"/><Relationship Id="rId136" Type="http://schemas.openxmlformats.org/officeDocument/2006/relationships/hyperlink" Target="https://www.worldometers.info/world-population/new-caledonia-population/" TargetMode="External"/><Relationship Id="rId157" Type="http://schemas.openxmlformats.org/officeDocument/2006/relationships/hyperlink" Target="https://www.worldometers.info/world-population/romania-population/" TargetMode="External"/><Relationship Id="rId178" Type="http://schemas.openxmlformats.org/officeDocument/2006/relationships/hyperlink" Target="https://www.worldometers.info/world-population/south-sudan-population/" TargetMode="External"/><Relationship Id="rId61" Type="http://schemas.openxmlformats.org/officeDocument/2006/relationships/hyperlink" Target="https://www.worldometers.info/world-population/equatorial-guinea-population/" TargetMode="External"/><Relationship Id="rId82" Type="http://schemas.openxmlformats.org/officeDocument/2006/relationships/hyperlink" Target="https://www.worldometers.info/world-population/guinea-population/" TargetMode="External"/><Relationship Id="rId199" Type="http://schemas.openxmlformats.org/officeDocument/2006/relationships/hyperlink" Target="https://www.worldometers.info/world-population/turks-and-caicos-islands-population/" TargetMode="External"/><Relationship Id="rId203" Type="http://schemas.openxmlformats.org/officeDocument/2006/relationships/hyperlink" Target="https://www.worldometers.info/world-population/united-arab-emirates-populatio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E76D-AEC1-4101-913D-D6B80380F5F7}">
  <dimension ref="A4:L53"/>
  <sheetViews>
    <sheetView tabSelected="1" workbookViewId="0">
      <selection activeCell="F16" sqref="F16"/>
    </sheetView>
  </sheetViews>
  <sheetFormatPr defaultRowHeight="14.5" x14ac:dyDescent="0.35"/>
  <cols>
    <col min="1" max="1" width="6.81640625" customWidth="1"/>
    <col min="2" max="2" width="7.54296875" customWidth="1"/>
    <col min="3" max="3" width="13.08984375" customWidth="1"/>
    <col min="4" max="4" width="10.54296875" customWidth="1"/>
    <col min="5" max="5" width="10.1796875" customWidth="1"/>
    <col min="10" max="10" width="6.36328125" customWidth="1"/>
    <col min="11" max="11" width="5.6328125" customWidth="1"/>
  </cols>
  <sheetData>
    <row r="4" spans="1:6" x14ac:dyDescent="0.35">
      <c r="A4" s="37" t="s">
        <v>357</v>
      </c>
      <c r="F4" s="63"/>
    </row>
    <row r="7" spans="1:6" x14ac:dyDescent="0.35">
      <c r="A7" s="37" t="s">
        <v>358</v>
      </c>
    </row>
    <row r="8" spans="1:6" x14ac:dyDescent="0.35">
      <c r="B8" s="66" t="s">
        <v>359</v>
      </c>
      <c r="C8" s="66" t="s">
        <v>360</v>
      </c>
      <c r="D8" s="66" t="s">
        <v>361</v>
      </c>
      <c r="E8" t="s">
        <v>362</v>
      </c>
    </row>
    <row r="9" spans="1:6" x14ac:dyDescent="0.35">
      <c r="B9" s="75">
        <v>425</v>
      </c>
      <c r="C9" s="75">
        <v>6.7</v>
      </c>
      <c r="D9" s="75">
        <v>2.34</v>
      </c>
      <c r="E9" s="80"/>
    </row>
    <row r="11" spans="1:6" x14ac:dyDescent="0.35">
      <c r="A11" s="37" t="s">
        <v>363</v>
      </c>
      <c r="E11" t="s">
        <v>364</v>
      </c>
    </row>
    <row r="12" spans="1:6" x14ac:dyDescent="0.35">
      <c r="B12" s="75">
        <v>4.3</v>
      </c>
      <c r="C12" s="75">
        <v>6.7</v>
      </c>
      <c r="D12" s="75">
        <v>11.2</v>
      </c>
      <c r="E12" s="63"/>
    </row>
    <row r="14" spans="1:6" x14ac:dyDescent="0.35">
      <c r="A14" s="37" t="s">
        <v>365</v>
      </c>
    </row>
    <row r="15" spans="1:6" x14ac:dyDescent="0.35">
      <c r="A15" s="67" t="s">
        <v>366</v>
      </c>
      <c r="B15" s="3"/>
      <c r="C15" s="76">
        <v>46252</v>
      </c>
    </row>
    <row r="16" spans="1:6" x14ac:dyDescent="0.35">
      <c r="A16" s="67" t="s">
        <v>367</v>
      </c>
      <c r="B16" s="3"/>
      <c r="C16" s="77">
        <v>90</v>
      </c>
    </row>
    <row r="17" spans="1:12" x14ac:dyDescent="0.35">
      <c r="A17" s="68" t="s">
        <v>368</v>
      </c>
      <c r="B17" s="69"/>
      <c r="C17" s="70"/>
    </row>
    <row r="19" spans="1:12" x14ac:dyDescent="0.35">
      <c r="A19" s="37" t="s">
        <v>369</v>
      </c>
    </row>
    <row r="20" spans="1:12" x14ac:dyDescent="0.35">
      <c r="A20" s="66" t="s">
        <v>370</v>
      </c>
    </row>
    <row r="21" spans="1:12" x14ac:dyDescent="0.35">
      <c r="A21" s="75">
        <v>13</v>
      </c>
      <c r="B21" s="75">
        <v>33</v>
      </c>
      <c r="D21" t="s">
        <v>371</v>
      </c>
    </row>
    <row r="22" spans="1:12" x14ac:dyDescent="0.35">
      <c r="A22" s="75">
        <v>12</v>
      </c>
      <c r="B22" s="75">
        <v>2</v>
      </c>
      <c r="D22" t="s">
        <v>364</v>
      </c>
    </row>
    <row r="23" spans="1:12" x14ac:dyDescent="0.35">
      <c r="A23" s="75">
        <v>33</v>
      </c>
      <c r="B23" s="75">
        <v>30</v>
      </c>
      <c r="D23" s="63"/>
    </row>
    <row r="24" spans="1:12" x14ac:dyDescent="0.35">
      <c r="A24" s="75">
        <v>15</v>
      </c>
      <c r="B24" s="75">
        <v>7</v>
      </c>
    </row>
    <row r="25" spans="1:12" x14ac:dyDescent="0.35">
      <c r="A25" s="75">
        <v>17</v>
      </c>
      <c r="B25" s="75">
        <v>13</v>
      </c>
    </row>
    <row r="26" spans="1:12" x14ac:dyDescent="0.35">
      <c r="A26" s="75">
        <v>22</v>
      </c>
      <c r="B26" s="75">
        <v>29</v>
      </c>
    </row>
    <row r="27" spans="1:12" x14ac:dyDescent="0.35">
      <c r="A27" s="75">
        <v>36</v>
      </c>
      <c r="B27" s="75">
        <v>36</v>
      </c>
    </row>
    <row r="29" spans="1:12" x14ac:dyDescent="0.35">
      <c r="A29" s="37" t="s">
        <v>376</v>
      </c>
      <c r="L29" s="81" t="s">
        <v>379</v>
      </c>
    </row>
    <row r="30" spans="1:12" x14ac:dyDescent="0.35">
      <c r="L30" t="s">
        <v>380</v>
      </c>
    </row>
    <row r="31" spans="1:12" x14ac:dyDescent="0.35">
      <c r="A31" t="s">
        <v>372</v>
      </c>
      <c r="L31" t="s">
        <v>381</v>
      </c>
    </row>
    <row r="32" spans="1:12" x14ac:dyDescent="0.35">
      <c r="A32" s="78">
        <v>186</v>
      </c>
      <c r="B32" s="78">
        <v>177</v>
      </c>
      <c r="C32" s="78">
        <v>161</v>
      </c>
      <c r="D32" s="78">
        <v>187</v>
      </c>
      <c r="E32" s="78">
        <v>192</v>
      </c>
      <c r="F32" s="78">
        <v>171</v>
      </c>
      <c r="H32" t="s">
        <v>373</v>
      </c>
    </row>
    <row r="33" spans="1:8" x14ac:dyDescent="0.35">
      <c r="A33" s="78">
        <v>184</v>
      </c>
      <c r="B33" s="78">
        <v>185</v>
      </c>
      <c r="C33" s="78">
        <v>182</v>
      </c>
      <c r="D33" s="78">
        <v>167</v>
      </c>
      <c r="E33" s="78">
        <v>178</v>
      </c>
      <c r="F33" s="78">
        <v>170</v>
      </c>
      <c r="H33" s="63"/>
    </row>
    <row r="34" spans="1:8" x14ac:dyDescent="0.35">
      <c r="A34" s="78">
        <v>177</v>
      </c>
      <c r="B34" s="78">
        <v>202</v>
      </c>
      <c r="C34" s="78">
        <v>179</v>
      </c>
      <c r="D34" s="78">
        <v>186</v>
      </c>
      <c r="E34" s="78">
        <v>184</v>
      </c>
      <c r="F34" s="78">
        <v>186</v>
      </c>
      <c r="H34" t="s">
        <v>377</v>
      </c>
    </row>
    <row r="35" spans="1:8" x14ac:dyDescent="0.35">
      <c r="A35" s="78">
        <v>188</v>
      </c>
      <c r="B35" s="78">
        <v>176</v>
      </c>
      <c r="C35" s="78">
        <v>168</v>
      </c>
      <c r="D35" s="78">
        <v>176</v>
      </c>
      <c r="E35" s="78">
        <v>184</v>
      </c>
      <c r="F35" s="78">
        <v>179</v>
      </c>
      <c r="H35" s="63"/>
    </row>
    <row r="36" spans="1:8" x14ac:dyDescent="0.35">
      <c r="A36" s="78">
        <v>189</v>
      </c>
      <c r="B36" s="78">
        <v>194</v>
      </c>
      <c r="C36" s="78">
        <v>173</v>
      </c>
      <c r="D36" s="78">
        <v>196</v>
      </c>
      <c r="E36" s="78">
        <v>178</v>
      </c>
      <c r="F36" s="78">
        <v>179</v>
      </c>
      <c r="H36" t="s">
        <v>378</v>
      </c>
    </row>
    <row r="37" spans="1:8" x14ac:dyDescent="0.35">
      <c r="A37" s="78">
        <v>167</v>
      </c>
      <c r="B37" s="78">
        <v>183</v>
      </c>
      <c r="C37" s="78">
        <v>171</v>
      </c>
      <c r="D37" s="78">
        <v>167</v>
      </c>
      <c r="E37" s="78">
        <v>175</v>
      </c>
      <c r="F37" s="78">
        <v>180</v>
      </c>
      <c r="H37" s="63"/>
    </row>
    <row r="38" spans="1:8" x14ac:dyDescent="0.35">
      <c r="A38" s="78">
        <v>165</v>
      </c>
      <c r="B38" s="78">
        <v>176</v>
      </c>
      <c r="C38" s="78">
        <v>168</v>
      </c>
      <c r="D38" s="78">
        <v>191</v>
      </c>
      <c r="E38" s="78">
        <v>174</v>
      </c>
      <c r="F38" s="78">
        <v>190</v>
      </c>
    </row>
    <row r="40" spans="1:8" x14ac:dyDescent="0.35">
      <c r="A40" s="71" t="s">
        <v>374</v>
      </c>
    </row>
    <row r="42" spans="1:8" x14ac:dyDescent="0.35">
      <c r="B42" s="66" t="s">
        <v>359</v>
      </c>
      <c r="C42" s="66" t="s">
        <v>360</v>
      </c>
      <c r="D42" s="66" t="s">
        <v>361</v>
      </c>
      <c r="E42" t="s">
        <v>362</v>
      </c>
    </row>
    <row r="43" spans="1:8" x14ac:dyDescent="0.35">
      <c r="B43" s="75">
        <v>145</v>
      </c>
      <c r="C43" s="75">
        <v>6.2</v>
      </c>
      <c r="D43" s="75">
        <v>2.3199999999999998</v>
      </c>
      <c r="E43" s="63"/>
    </row>
    <row r="44" spans="1:8" x14ac:dyDescent="0.35">
      <c r="B44" s="75">
        <v>445</v>
      </c>
      <c r="C44" s="75">
        <v>5.9</v>
      </c>
      <c r="D44" s="75">
        <v>2.25</v>
      </c>
      <c r="E44" s="63"/>
    </row>
    <row r="45" spans="1:8" x14ac:dyDescent="0.35">
      <c r="B45" s="75">
        <v>165</v>
      </c>
      <c r="C45" s="75">
        <v>6.4</v>
      </c>
      <c r="D45" s="75">
        <v>2.35</v>
      </c>
      <c r="E45" s="63"/>
    </row>
    <row r="46" spans="1:8" x14ac:dyDescent="0.35">
      <c r="B46" s="75">
        <v>75</v>
      </c>
      <c r="C46" s="75">
        <v>5.5</v>
      </c>
      <c r="D46" s="75">
        <v>2.2200000000000002</v>
      </c>
      <c r="E46" s="63"/>
    </row>
    <row r="48" spans="1:8" x14ac:dyDescent="0.35">
      <c r="A48" s="71" t="s">
        <v>375</v>
      </c>
    </row>
    <row r="49" spans="2:5" x14ac:dyDescent="0.35">
      <c r="B49" s="66" t="s">
        <v>359</v>
      </c>
      <c r="C49" s="66" t="s">
        <v>360</v>
      </c>
      <c r="D49" s="66" t="s">
        <v>361</v>
      </c>
      <c r="E49" t="s">
        <v>362</v>
      </c>
    </row>
    <row r="50" spans="2:5" x14ac:dyDescent="0.35">
      <c r="B50" s="75">
        <v>145</v>
      </c>
      <c r="C50" s="75">
        <v>6.2</v>
      </c>
      <c r="D50" s="75">
        <v>2.3199999999999998</v>
      </c>
      <c r="E50" s="63"/>
    </row>
    <row r="51" spans="2:5" x14ac:dyDescent="0.35">
      <c r="B51" s="75">
        <v>445</v>
      </c>
      <c r="C51" s="75">
        <v>5.9</v>
      </c>
      <c r="D51" s="75">
        <v>2.25</v>
      </c>
      <c r="E51" s="63"/>
    </row>
    <row r="52" spans="2:5" x14ac:dyDescent="0.35">
      <c r="B52" s="75">
        <v>165</v>
      </c>
      <c r="C52" s="75">
        <v>6.4</v>
      </c>
      <c r="D52" s="75">
        <v>2.35</v>
      </c>
      <c r="E52" s="63"/>
    </row>
    <row r="53" spans="2:5" x14ac:dyDescent="0.35">
      <c r="B53" s="79">
        <v>75</v>
      </c>
      <c r="C53" s="79">
        <v>5.5</v>
      </c>
      <c r="D53" s="79">
        <v>2.2200000000000002</v>
      </c>
      <c r="E53" s="72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2DE7-1BAD-448B-82BC-7246916E0A18}">
  <dimension ref="A1:C20"/>
  <sheetViews>
    <sheetView zoomScale="90" zoomScaleNormal="90" workbookViewId="0">
      <selection activeCell="K17" sqref="K17"/>
    </sheetView>
  </sheetViews>
  <sheetFormatPr defaultRowHeight="14.5" x14ac:dyDescent="0.35"/>
  <cols>
    <col min="1" max="1" width="13.26953125" customWidth="1"/>
    <col min="2" max="3" width="12.6328125" customWidth="1"/>
    <col min="4" max="4" width="11.36328125" customWidth="1"/>
    <col min="5" max="5" width="4.7265625" customWidth="1"/>
    <col min="6" max="6" width="16.1796875" customWidth="1"/>
    <col min="7" max="7" width="14.08984375" customWidth="1"/>
    <col min="8" max="8" width="16.1796875" customWidth="1"/>
    <col min="9" max="9" width="11.26953125" customWidth="1"/>
  </cols>
  <sheetData>
    <row r="1" spans="1:3" ht="16" x14ac:dyDescent="0.4">
      <c r="A1" s="16" t="s">
        <v>16</v>
      </c>
    </row>
    <row r="3" spans="1:3" x14ac:dyDescent="0.35">
      <c r="A3" t="s">
        <v>15</v>
      </c>
      <c r="C3" s="2">
        <v>3.2000000000000001E-2</v>
      </c>
    </row>
    <row r="5" spans="1:3" x14ac:dyDescent="0.35">
      <c r="A5" s="6" t="s">
        <v>12</v>
      </c>
      <c r="B5" s="7" t="s">
        <v>13</v>
      </c>
      <c r="C5" s="8" t="s">
        <v>14</v>
      </c>
    </row>
    <row r="6" spans="1:3" x14ac:dyDescent="0.35">
      <c r="A6" s="3" t="s">
        <v>1</v>
      </c>
      <c r="B6" s="4">
        <v>2760</v>
      </c>
      <c r="C6" s="64"/>
    </row>
    <row r="7" spans="1:3" x14ac:dyDescent="0.35">
      <c r="A7" s="3" t="s">
        <v>0</v>
      </c>
      <c r="B7" s="4">
        <v>2950</v>
      </c>
      <c r="C7" s="5"/>
    </row>
    <row r="8" spans="1:3" x14ac:dyDescent="0.35">
      <c r="A8" s="3" t="s">
        <v>2</v>
      </c>
      <c r="B8" s="4">
        <v>2320</v>
      </c>
      <c r="C8" s="5"/>
    </row>
    <row r="9" spans="1:3" x14ac:dyDescent="0.35">
      <c r="A9" s="3" t="s">
        <v>3</v>
      </c>
      <c r="B9" s="4">
        <v>2060</v>
      </c>
      <c r="C9" s="5"/>
    </row>
    <row r="10" spans="1:3" x14ac:dyDescent="0.35">
      <c r="A10" s="3" t="s">
        <v>4</v>
      </c>
      <c r="B10" s="4">
        <v>2090</v>
      </c>
      <c r="C10" s="5"/>
    </row>
    <row r="11" spans="1:3" x14ac:dyDescent="0.35">
      <c r="A11" s="3" t="s">
        <v>6</v>
      </c>
      <c r="B11" s="4">
        <v>2390</v>
      </c>
      <c r="C11" s="5"/>
    </row>
    <row r="12" spans="1:3" x14ac:dyDescent="0.35">
      <c r="A12" s="3" t="s">
        <v>5</v>
      </c>
      <c r="B12" s="4">
        <v>2850</v>
      </c>
      <c r="C12" s="5"/>
    </row>
    <row r="13" spans="1:3" x14ac:dyDescent="0.35">
      <c r="A13" s="3" t="s">
        <v>7</v>
      </c>
      <c r="B13" s="4">
        <v>2460</v>
      </c>
      <c r="C13" s="5"/>
    </row>
    <row r="14" spans="1:3" x14ac:dyDescent="0.35">
      <c r="A14" s="3" t="s">
        <v>8</v>
      </c>
      <c r="B14" s="4">
        <v>2750</v>
      </c>
      <c r="C14" s="5"/>
    </row>
    <row r="15" spans="1:3" x14ac:dyDescent="0.35">
      <c r="A15" s="3" t="s">
        <v>9</v>
      </c>
      <c r="B15" s="4">
        <v>2460</v>
      </c>
      <c r="C15" s="5"/>
    </row>
    <row r="16" spans="1:3" x14ac:dyDescent="0.35">
      <c r="A16" s="3" t="s">
        <v>10</v>
      </c>
      <c r="B16" s="4">
        <v>3200</v>
      </c>
      <c r="C16" s="5"/>
    </row>
    <row r="17" spans="1:3" x14ac:dyDescent="0.35">
      <c r="A17" s="9" t="s">
        <v>11</v>
      </c>
      <c r="B17" s="10">
        <v>1920</v>
      </c>
      <c r="C17" s="11"/>
    </row>
    <row r="18" spans="1:3" x14ac:dyDescent="0.35">
      <c r="A18" s="9" t="s">
        <v>17</v>
      </c>
      <c r="B18" s="10">
        <f>SUBTOTAL(109,Taulukko2[Nyk. palkka])</f>
        <v>30210</v>
      </c>
      <c r="C18" s="12"/>
    </row>
    <row r="20" spans="1:3" x14ac:dyDescent="0.35">
      <c r="A20" s="65" t="s">
        <v>277</v>
      </c>
    </row>
  </sheetData>
  <phoneticPr fontId="1" type="noConversion"/>
  <pageMargins left="0.7" right="0.7" top="0.75" bottom="0.75" header="0.3" footer="0.3"/>
  <headerFooter>
    <oddHeader>&amp;R&amp;"Aptos"&amp;10&amp;K000000 Luottamuksellinen - Confidential (3Y)&amp;1#_x000D_</oddHead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DB93-AF92-4EDE-91B4-A70B93DDD354}">
  <dimension ref="B1:G19"/>
  <sheetViews>
    <sheetView workbookViewId="0">
      <selection activeCell="M20" sqref="M20"/>
    </sheetView>
  </sheetViews>
  <sheetFormatPr defaultRowHeight="14.5" x14ac:dyDescent="0.35"/>
  <cols>
    <col min="1" max="1" width="3.36328125" customWidth="1"/>
    <col min="2" max="2" width="11.6328125" customWidth="1"/>
    <col min="3" max="7" width="7.54296875" bestFit="1" customWidth="1"/>
    <col min="8" max="8" width="11.08984375" customWidth="1"/>
    <col min="9" max="9" width="13.26953125" customWidth="1"/>
    <col min="11" max="11" width="10.7265625" customWidth="1"/>
    <col min="12" max="12" width="23.7265625" customWidth="1"/>
    <col min="13" max="13" width="10.54296875" customWidth="1"/>
  </cols>
  <sheetData>
    <row r="1" spans="2:7" ht="18.5" x14ac:dyDescent="0.45">
      <c r="B1" s="86" t="s">
        <v>355</v>
      </c>
    </row>
    <row r="3" spans="2:7" x14ac:dyDescent="0.35">
      <c r="B3" t="s">
        <v>21</v>
      </c>
      <c r="C3" s="14">
        <v>6.2E-2</v>
      </c>
    </row>
    <row r="4" spans="2:7" x14ac:dyDescent="0.35">
      <c r="B4" t="s">
        <v>20</v>
      </c>
      <c r="C4" s="18">
        <v>18</v>
      </c>
    </row>
    <row r="5" spans="2:7" x14ac:dyDescent="0.35">
      <c r="B5" t="s">
        <v>22</v>
      </c>
      <c r="C5" s="18">
        <v>6000</v>
      </c>
    </row>
    <row r="7" spans="2:7" x14ac:dyDescent="0.35">
      <c r="B7" t="s">
        <v>23</v>
      </c>
      <c r="C7" s="87"/>
      <c r="D7" t="s">
        <v>349</v>
      </c>
    </row>
    <row r="10" spans="2:7" ht="21" x14ac:dyDescent="0.5">
      <c r="B10" s="17" t="s">
        <v>356</v>
      </c>
    </row>
    <row r="12" spans="2:7" x14ac:dyDescent="0.35">
      <c r="B12" t="s">
        <v>19</v>
      </c>
      <c r="C12" s="14">
        <v>6.2E-2</v>
      </c>
    </row>
    <row r="14" spans="2:7" x14ac:dyDescent="0.35">
      <c r="B14" s="13" t="s">
        <v>18</v>
      </c>
      <c r="C14" s="88">
        <v>4000</v>
      </c>
      <c r="D14" s="88">
        <v>5000</v>
      </c>
      <c r="E14" s="88">
        <v>6000</v>
      </c>
      <c r="F14" s="88">
        <v>7000</v>
      </c>
      <c r="G14" s="88">
        <v>8000</v>
      </c>
    </row>
    <row r="15" spans="2:7" x14ac:dyDescent="0.35">
      <c r="B15" s="15">
        <v>12</v>
      </c>
      <c r="C15" s="19"/>
      <c r="D15" s="19"/>
      <c r="E15" s="19"/>
      <c r="F15" s="19"/>
      <c r="G15" s="19"/>
    </row>
    <row r="16" spans="2:7" x14ac:dyDescent="0.35">
      <c r="B16" s="15">
        <v>18</v>
      </c>
      <c r="C16" s="19"/>
      <c r="D16" s="19"/>
      <c r="E16" s="19"/>
      <c r="F16" s="19"/>
      <c r="G16" s="19"/>
    </row>
    <row r="17" spans="2:7" x14ac:dyDescent="0.35">
      <c r="B17" s="15">
        <v>24</v>
      </c>
      <c r="C17" s="19"/>
      <c r="D17" s="19"/>
      <c r="E17" s="19"/>
      <c r="F17" s="19"/>
      <c r="G17" s="19"/>
    </row>
    <row r="18" spans="2:7" x14ac:dyDescent="0.35">
      <c r="B18" s="15">
        <v>30</v>
      </c>
      <c r="C18" s="19"/>
      <c r="D18" s="19"/>
      <c r="E18" s="19"/>
      <c r="F18" s="19"/>
      <c r="G18" s="19"/>
    </row>
    <row r="19" spans="2:7" x14ac:dyDescent="0.35">
      <c r="B19" s="15">
        <v>36</v>
      </c>
      <c r="C19" s="19"/>
      <c r="D19" s="19"/>
      <c r="E19" s="19"/>
      <c r="F19" s="19"/>
      <c r="G19" s="19"/>
    </row>
  </sheetData>
  <pageMargins left="0.7" right="0.7" top="0.75" bottom="0.75" header="0.3" footer="0.3"/>
  <headerFooter>
    <oddHeader>&amp;R&amp;"Aptos"&amp;10&amp;K000000 Luottamuksellinen - Confidential (3Y)&amp;1#_x000D_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B2F1-BFD0-4848-B1DB-CEA88CB63FBC}">
  <dimension ref="A1:I215"/>
  <sheetViews>
    <sheetView workbookViewId="0">
      <selection activeCell="L16" sqref="L16"/>
    </sheetView>
  </sheetViews>
  <sheetFormatPr defaultRowHeight="14" customHeight="1" x14ac:dyDescent="0.35"/>
  <cols>
    <col min="1" max="1" width="2.6328125" style="20" customWidth="1"/>
    <col min="2" max="2" width="17.453125" customWidth="1"/>
    <col min="3" max="3" width="13.6328125" style="24" customWidth="1"/>
    <col min="6" max="6" width="13.453125" customWidth="1"/>
    <col min="7" max="7" width="12.453125" customWidth="1"/>
    <col min="11" max="11" width="15.26953125" customWidth="1"/>
    <col min="14" max="14" width="15.36328125" customWidth="1"/>
  </cols>
  <sheetData>
    <row r="1" spans="1:8" ht="14" customHeight="1" x14ac:dyDescent="0.35">
      <c r="B1" s="32" t="s">
        <v>24</v>
      </c>
      <c r="C1" s="33" t="s">
        <v>254</v>
      </c>
      <c r="E1" s="30" t="s">
        <v>252</v>
      </c>
    </row>
    <row r="2" spans="1:8" ht="14" customHeight="1" x14ac:dyDescent="0.35">
      <c r="A2" s="21">
        <v>1</v>
      </c>
      <c r="B2" s="22" t="s">
        <v>25</v>
      </c>
      <c r="C2" s="23">
        <v>65286</v>
      </c>
      <c r="E2" s="30" t="s">
        <v>253</v>
      </c>
    </row>
    <row r="3" spans="1:8" ht="14" customHeight="1" x14ac:dyDescent="0.35">
      <c r="A3" s="21">
        <v>2</v>
      </c>
      <c r="B3" s="22" t="s">
        <v>26</v>
      </c>
      <c r="C3" s="23">
        <v>274</v>
      </c>
    </row>
    <row r="4" spans="1:8" ht="14" customHeight="1" x14ac:dyDescent="0.4">
      <c r="A4" s="21">
        <v>3</v>
      </c>
      <c r="B4" s="22" t="s">
        <v>27</v>
      </c>
      <c r="C4" s="23">
        <v>2381740</v>
      </c>
      <c r="E4" s="27" t="s">
        <v>247</v>
      </c>
      <c r="F4" s="28" t="s">
        <v>239</v>
      </c>
      <c r="G4" s="29"/>
      <c r="H4" t="s">
        <v>382</v>
      </c>
    </row>
    <row r="5" spans="1:8" ht="14" customHeight="1" x14ac:dyDescent="0.4">
      <c r="A5" s="21">
        <v>4</v>
      </c>
      <c r="B5" s="22" t="s">
        <v>28</v>
      </c>
      <c r="C5" s="23">
        <v>200</v>
      </c>
      <c r="E5" s="27" t="s">
        <v>248</v>
      </c>
      <c r="F5" s="28" t="s">
        <v>246</v>
      </c>
      <c r="G5" s="29"/>
      <c r="H5" s="81" t="s">
        <v>383</v>
      </c>
    </row>
    <row r="6" spans="1:8" ht="14" customHeight="1" x14ac:dyDescent="0.4">
      <c r="A6" s="21">
        <v>5</v>
      </c>
      <c r="B6" s="22" t="s">
        <v>29</v>
      </c>
      <c r="C6" s="23">
        <v>470</v>
      </c>
      <c r="E6" s="27" t="s">
        <v>249</v>
      </c>
      <c r="F6" s="28" t="s">
        <v>240</v>
      </c>
      <c r="G6" s="29"/>
      <c r="H6" t="s">
        <v>384</v>
      </c>
    </row>
    <row r="7" spans="1:8" ht="14" customHeight="1" x14ac:dyDescent="0.4">
      <c r="A7" s="21">
        <v>6</v>
      </c>
      <c r="B7" s="22" t="s">
        <v>30</v>
      </c>
      <c r="C7" s="23">
        <v>1246700</v>
      </c>
      <c r="E7" s="27" t="s">
        <v>249</v>
      </c>
      <c r="F7" s="28" t="s">
        <v>241</v>
      </c>
      <c r="G7" s="29"/>
      <c r="H7" t="s">
        <v>385</v>
      </c>
    </row>
    <row r="8" spans="1:8" ht="14" customHeight="1" x14ac:dyDescent="0.4">
      <c r="A8" s="21">
        <v>7</v>
      </c>
      <c r="B8" s="22" t="s">
        <v>31</v>
      </c>
      <c r="C8" s="23">
        <v>90</v>
      </c>
      <c r="E8" s="27" t="s">
        <v>250</v>
      </c>
      <c r="F8" s="28" t="s">
        <v>245</v>
      </c>
      <c r="G8" s="29"/>
      <c r="H8" t="s">
        <v>387</v>
      </c>
    </row>
    <row r="9" spans="1:8" ht="14" customHeight="1" x14ac:dyDescent="0.4">
      <c r="A9" s="21">
        <v>9</v>
      </c>
      <c r="B9" s="22" t="s">
        <v>32</v>
      </c>
      <c r="C9" s="23">
        <v>2736690</v>
      </c>
      <c r="E9" s="27" t="s">
        <v>251</v>
      </c>
      <c r="F9" s="28" t="s">
        <v>244</v>
      </c>
      <c r="G9" s="29"/>
      <c r="H9" t="s">
        <v>388</v>
      </c>
    </row>
    <row r="10" spans="1:8" ht="14" customHeight="1" x14ac:dyDescent="0.35">
      <c r="A10" s="21">
        <v>10</v>
      </c>
      <c r="B10" s="22" t="s">
        <v>33</v>
      </c>
      <c r="C10" s="23">
        <v>2847</v>
      </c>
    </row>
    <row r="11" spans="1:8" ht="14" customHeight="1" x14ac:dyDescent="0.35">
      <c r="A11" s="21">
        <v>11</v>
      </c>
      <c r="B11" s="22" t="s">
        <v>34</v>
      </c>
      <c r="C11" s="23">
        <v>180</v>
      </c>
    </row>
    <row r="12" spans="1:8" ht="14" customHeight="1" x14ac:dyDescent="0.35">
      <c r="A12" s="21">
        <v>12</v>
      </c>
      <c r="B12" s="22" t="s">
        <v>35</v>
      </c>
      <c r="C12" s="23">
        <v>7682300</v>
      </c>
    </row>
    <row r="13" spans="1:8" ht="14" customHeight="1" x14ac:dyDescent="0.35">
      <c r="A13" s="21">
        <v>13</v>
      </c>
      <c r="B13" s="22" t="s">
        <v>36</v>
      </c>
      <c r="C13" s="23">
        <v>82409</v>
      </c>
    </row>
    <row r="14" spans="1:8" ht="14" customHeight="1" x14ac:dyDescent="0.35">
      <c r="A14" s="21">
        <v>14</v>
      </c>
      <c r="B14" s="22" t="s">
        <v>37</v>
      </c>
      <c r="C14" s="23">
        <v>82658</v>
      </c>
    </row>
    <row r="15" spans="1:8" ht="14" customHeight="1" x14ac:dyDescent="0.35">
      <c r="A15" s="21">
        <v>15</v>
      </c>
      <c r="B15" s="22" t="s">
        <v>38</v>
      </c>
      <c r="C15" s="23">
        <v>1001</v>
      </c>
    </row>
    <row r="16" spans="1:8" ht="14" customHeight="1" x14ac:dyDescent="0.35">
      <c r="A16" s="21">
        <v>16</v>
      </c>
      <c r="B16" s="22" t="s">
        <v>39</v>
      </c>
      <c r="C16" s="23">
        <v>760</v>
      </c>
      <c r="F16" s="13" t="s">
        <v>242</v>
      </c>
      <c r="G16" s="1" t="s">
        <v>243</v>
      </c>
    </row>
    <row r="17" spans="1:9" ht="14" customHeight="1" x14ac:dyDescent="0.35">
      <c r="A17" s="21">
        <v>17</v>
      </c>
      <c r="B17" s="22" t="s">
        <v>40</v>
      </c>
      <c r="C17" s="23">
        <v>13017</v>
      </c>
      <c r="F17" s="31">
        <v>1000</v>
      </c>
      <c r="G17" s="59"/>
      <c r="H17" t="s">
        <v>386</v>
      </c>
    </row>
    <row r="18" spans="1:9" ht="14" customHeight="1" x14ac:dyDescent="0.35">
      <c r="A18" s="21">
        <v>18</v>
      </c>
      <c r="B18" s="22" t="s">
        <v>41</v>
      </c>
      <c r="C18" s="23">
        <v>430</v>
      </c>
      <c r="F18" s="31">
        <v>5000</v>
      </c>
      <c r="G18" s="59"/>
    </row>
    <row r="19" spans="1:9" ht="14" customHeight="1" x14ac:dyDescent="0.35">
      <c r="A19" s="21">
        <v>19</v>
      </c>
      <c r="B19" s="22" t="s">
        <v>42</v>
      </c>
      <c r="C19" s="23">
        <v>20291</v>
      </c>
      <c r="F19" s="31">
        <v>20000</v>
      </c>
      <c r="G19" s="59"/>
    </row>
    <row r="20" spans="1:9" ht="14" customHeight="1" x14ac:dyDescent="0.35">
      <c r="A20" s="21">
        <v>20</v>
      </c>
      <c r="B20" s="22" t="s">
        <v>43</v>
      </c>
      <c r="C20" s="23">
        <v>3028</v>
      </c>
      <c r="F20" s="31">
        <v>50000</v>
      </c>
      <c r="G20" s="59"/>
    </row>
    <row r="21" spans="1:9" ht="14" customHeight="1" x14ac:dyDescent="0.35">
      <c r="A21" s="21">
        <v>21</v>
      </c>
      <c r="B21" s="22" t="s">
        <v>44</v>
      </c>
      <c r="C21" s="23">
        <v>2281</v>
      </c>
      <c r="F21" s="31">
        <v>100000</v>
      </c>
      <c r="G21" s="59"/>
    </row>
    <row r="22" spans="1:9" ht="14" customHeight="1" x14ac:dyDescent="0.35">
      <c r="A22" s="21">
        <v>22</v>
      </c>
      <c r="B22" s="22" t="s">
        <v>45</v>
      </c>
      <c r="C22" s="23">
        <v>11276</v>
      </c>
      <c r="F22" s="31">
        <v>1000000</v>
      </c>
      <c r="G22" s="59"/>
      <c r="I22" s="38"/>
    </row>
    <row r="23" spans="1:9" ht="14" customHeight="1" x14ac:dyDescent="0.35">
      <c r="A23" s="21">
        <v>23</v>
      </c>
      <c r="B23" s="22" t="s">
        <v>46</v>
      </c>
      <c r="C23" s="23">
        <v>50</v>
      </c>
      <c r="F23" s="31">
        <v>20000000</v>
      </c>
      <c r="G23" s="59"/>
    </row>
    <row r="24" spans="1:9" ht="14" customHeight="1" x14ac:dyDescent="0.35">
      <c r="A24" s="21">
        <v>24</v>
      </c>
      <c r="B24" s="22" t="s">
        <v>47</v>
      </c>
      <c r="C24" s="23">
        <v>38117</v>
      </c>
    </row>
    <row r="25" spans="1:9" ht="14" customHeight="1" x14ac:dyDescent="0.35">
      <c r="A25" s="21">
        <v>25</v>
      </c>
      <c r="B25" s="22" t="s">
        <v>48</v>
      </c>
      <c r="C25" s="23">
        <v>1083300</v>
      </c>
    </row>
    <row r="26" spans="1:9" ht="14" customHeight="1" x14ac:dyDescent="0.35">
      <c r="A26" s="21">
        <v>26</v>
      </c>
      <c r="B26" s="22" t="s">
        <v>49</v>
      </c>
      <c r="C26" s="23">
        <v>51</v>
      </c>
    </row>
    <row r="27" spans="1:9" ht="14" customHeight="1" x14ac:dyDescent="0.35">
      <c r="A27" s="21">
        <v>27</v>
      </c>
      <c r="B27" s="22" t="s">
        <v>50</v>
      </c>
      <c r="C27" s="23">
        <v>56673</v>
      </c>
      <c r="F27" s="38" t="s">
        <v>350</v>
      </c>
    </row>
    <row r="28" spans="1:9" ht="14" customHeight="1" x14ac:dyDescent="0.35">
      <c r="A28" s="21">
        <v>28</v>
      </c>
      <c r="B28" s="22" t="s">
        <v>51</v>
      </c>
      <c r="C28" s="23">
        <v>8358140</v>
      </c>
    </row>
    <row r="29" spans="1:9" ht="14" customHeight="1" x14ac:dyDescent="0.35">
      <c r="A29" s="21">
        <v>30</v>
      </c>
      <c r="B29" s="22" t="s">
        <v>52</v>
      </c>
      <c r="C29" s="23">
        <v>527</v>
      </c>
    </row>
    <row r="30" spans="1:9" ht="14" customHeight="1" x14ac:dyDescent="0.35">
      <c r="A30" s="21">
        <v>31</v>
      </c>
      <c r="B30" s="22" t="s">
        <v>53</v>
      </c>
      <c r="C30" s="23">
        <v>10856</v>
      </c>
    </row>
    <row r="31" spans="1:9" ht="14" customHeight="1" x14ac:dyDescent="0.35">
      <c r="A31" s="21">
        <v>32</v>
      </c>
      <c r="B31" s="22" t="s">
        <v>54</v>
      </c>
      <c r="C31" s="23">
        <v>2736</v>
      </c>
    </row>
    <row r="32" spans="1:9" ht="14" customHeight="1" x14ac:dyDescent="0.35">
      <c r="A32" s="21">
        <v>33</v>
      </c>
      <c r="B32" s="22" t="s">
        <v>55</v>
      </c>
      <c r="C32" s="23">
        <v>2568</v>
      </c>
    </row>
    <row r="33" spans="1:3" ht="14" customHeight="1" x14ac:dyDescent="0.35">
      <c r="A33" s="21">
        <v>34</v>
      </c>
      <c r="B33" s="22" t="s">
        <v>56</v>
      </c>
      <c r="C33" s="23">
        <v>403</v>
      </c>
    </row>
    <row r="34" spans="1:3" ht="14" customHeight="1" x14ac:dyDescent="0.35">
      <c r="A34" s="21">
        <v>35</v>
      </c>
      <c r="B34" s="22" t="s">
        <v>57</v>
      </c>
      <c r="C34" s="23">
        <v>17652</v>
      </c>
    </row>
    <row r="35" spans="1:3" ht="14" customHeight="1" x14ac:dyDescent="0.35">
      <c r="A35" s="21">
        <v>36</v>
      </c>
      <c r="B35" s="22" t="s">
        <v>58</v>
      </c>
      <c r="C35" s="23">
        <v>47271</v>
      </c>
    </row>
    <row r="36" spans="1:3" ht="14" customHeight="1" x14ac:dyDescent="0.35">
      <c r="A36" s="21">
        <v>37</v>
      </c>
      <c r="B36" s="22" t="s">
        <v>59</v>
      </c>
      <c r="C36" s="23">
        <v>9093510</v>
      </c>
    </row>
    <row r="37" spans="1:3" ht="14" customHeight="1" x14ac:dyDescent="0.35">
      <c r="A37" s="21">
        <v>38</v>
      </c>
      <c r="B37" s="22" t="s">
        <v>60</v>
      </c>
      <c r="C37" s="23">
        <v>328</v>
      </c>
    </row>
    <row r="38" spans="1:3" ht="14" customHeight="1" x14ac:dyDescent="0.35">
      <c r="A38" s="21">
        <v>39</v>
      </c>
      <c r="B38" s="22" t="s">
        <v>61</v>
      </c>
      <c r="C38" s="23">
        <v>240</v>
      </c>
    </row>
    <row r="39" spans="1:3" ht="14" customHeight="1" x14ac:dyDescent="0.35">
      <c r="A39" s="21">
        <v>40</v>
      </c>
      <c r="B39" s="22" t="s">
        <v>62</v>
      </c>
      <c r="C39" s="23">
        <v>62298</v>
      </c>
    </row>
    <row r="40" spans="1:3" ht="14" customHeight="1" x14ac:dyDescent="0.35">
      <c r="A40" s="21">
        <v>41</v>
      </c>
      <c r="B40" s="22" t="s">
        <v>63</v>
      </c>
      <c r="C40" s="23">
        <v>1259200</v>
      </c>
    </row>
    <row r="41" spans="1:3" ht="14" customHeight="1" x14ac:dyDescent="0.35">
      <c r="A41" s="21">
        <v>42</v>
      </c>
      <c r="B41" s="22" t="s">
        <v>64</v>
      </c>
      <c r="C41" s="23">
        <v>743532</v>
      </c>
    </row>
    <row r="42" spans="1:3" ht="14" customHeight="1" x14ac:dyDescent="0.35">
      <c r="A42" s="21">
        <v>43</v>
      </c>
      <c r="B42" s="22" t="s">
        <v>65</v>
      </c>
      <c r="C42" s="23">
        <v>9388211</v>
      </c>
    </row>
    <row r="43" spans="1:3" ht="14" customHeight="1" x14ac:dyDescent="0.35">
      <c r="A43" s="21">
        <v>44</v>
      </c>
      <c r="B43" s="22" t="s">
        <v>66</v>
      </c>
      <c r="C43" s="23">
        <v>1109500</v>
      </c>
    </row>
    <row r="44" spans="1:3" ht="14" customHeight="1" x14ac:dyDescent="0.35">
      <c r="A44" s="21">
        <v>45</v>
      </c>
      <c r="B44" s="22" t="s">
        <v>67</v>
      </c>
      <c r="C44" s="23">
        <v>1861</v>
      </c>
    </row>
    <row r="45" spans="1:3" ht="14" customHeight="1" x14ac:dyDescent="0.35">
      <c r="A45" s="21">
        <v>46</v>
      </c>
      <c r="B45" s="22" t="s">
        <v>68</v>
      </c>
      <c r="C45" s="23">
        <v>3415</v>
      </c>
    </row>
    <row r="46" spans="1:3" ht="14" customHeight="1" x14ac:dyDescent="0.35">
      <c r="A46" s="21">
        <v>47</v>
      </c>
      <c r="B46" s="22" t="s">
        <v>69</v>
      </c>
      <c r="C46" s="23">
        <v>240</v>
      </c>
    </row>
    <row r="47" spans="1:3" ht="14" customHeight="1" x14ac:dyDescent="0.35">
      <c r="A47" s="21">
        <v>48</v>
      </c>
      <c r="B47" s="22" t="s">
        <v>70</v>
      </c>
      <c r="C47" s="23">
        <v>5106</v>
      </c>
    </row>
    <row r="48" spans="1:3" ht="14" customHeight="1" x14ac:dyDescent="0.35">
      <c r="A48" s="21">
        <v>49</v>
      </c>
      <c r="B48" s="22" t="s">
        <v>71</v>
      </c>
      <c r="C48" s="23">
        <v>318</v>
      </c>
    </row>
    <row r="49" spans="1:3" ht="14" customHeight="1" x14ac:dyDescent="0.35">
      <c r="A49" s="21">
        <v>50</v>
      </c>
      <c r="B49" s="22" t="s">
        <v>72</v>
      </c>
      <c r="C49" s="23">
        <v>5596</v>
      </c>
    </row>
    <row r="50" spans="1:3" ht="14" customHeight="1" x14ac:dyDescent="0.35">
      <c r="A50" s="21">
        <v>51</v>
      </c>
      <c r="B50" s="22" t="s">
        <v>73</v>
      </c>
      <c r="C50" s="23">
        <v>10644</v>
      </c>
    </row>
    <row r="51" spans="1:3" ht="14" customHeight="1" x14ac:dyDescent="0.35">
      <c r="A51" s="21">
        <v>52</v>
      </c>
      <c r="B51" s="22" t="s">
        <v>74</v>
      </c>
      <c r="C51" s="23">
        <v>444</v>
      </c>
    </row>
    <row r="52" spans="1:3" ht="14" customHeight="1" x14ac:dyDescent="0.35">
      <c r="A52" s="21">
        <v>53</v>
      </c>
      <c r="B52" s="22" t="s">
        <v>75</v>
      </c>
      <c r="C52" s="23">
        <v>924</v>
      </c>
    </row>
    <row r="53" spans="1:3" ht="14" customHeight="1" x14ac:dyDescent="0.35">
      <c r="A53" s="21">
        <v>54</v>
      </c>
      <c r="B53" s="22" t="s">
        <v>238</v>
      </c>
      <c r="C53" s="23">
        <v>7724</v>
      </c>
    </row>
    <row r="54" spans="1:3" ht="14" customHeight="1" x14ac:dyDescent="0.35">
      <c r="A54" s="21">
        <v>55</v>
      </c>
      <c r="B54" s="22" t="s">
        <v>76</v>
      </c>
      <c r="C54" s="23">
        <v>4243</v>
      </c>
    </row>
    <row r="55" spans="1:3" ht="14" customHeight="1" x14ac:dyDescent="0.35">
      <c r="A55" s="21">
        <v>56</v>
      </c>
      <c r="B55" s="22" t="s">
        <v>77</v>
      </c>
      <c r="C55" s="23">
        <v>2318</v>
      </c>
    </row>
    <row r="56" spans="1:3" ht="14" customHeight="1" x14ac:dyDescent="0.35">
      <c r="A56" s="21">
        <v>57</v>
      </c>
      <c r="B56" s="22" t="s">
        <v>78</v>
      </c>
      <c r="C56" s="23">
        <v>750</v>
      </c>
    </row>
    <row r="57" spans="1:3" ht="14" customHeight="1" x14ac:dyDescent="0.35">
      <c r="A57" s="21">
        <v>58</v>
      </c>
      <c r="B57" s="22" t="s">
        <v>79</v>
      </c>
      <c r="C57" s="23">
        <v>4832</v>
      </c>
    </row>
    <row r="58" spans="1:3" ht="14" customHeight="1" x14ac:dyDescent="0.35">
      <c r="A58" s="21">
        <v>59</v>
      </c>
      <c r="B58" s="22" t="s">
        <v>80</v>
      </c>
      <c r="C58" s="23">
        <v>2267050</v>
      </c>
    </row>
    <row r="59" spans="1:3" ht="14" customHeight="1" x14ac:dyDescent="0.35">
      <c r="A59" s="21">
        <v>60</v>
      </c>
      <c r="B59" s="22" t="s">
        <v>81</v>
      </c>
      <c r="C59" s="23">
        <v>24836</v>
      </c>
    </row>
    <row r="60" spans="1:3" ht="14" customHeight="1" x14ac:dyDescent="0.35">
      <c r="A60" s="21">
        <v>61</v>
      </c>
      <c r="B60" s="22" t="s">
        <v>82</v>
      </c>
      <c r="C60" s="23">
        <v>99545</v>
      </c>
    </row>
    <row r="61" spans="1:3" ht="14" customHeight="1" x14ac:dyDescent="0.35">
      <c r="A61" s="21">
        <v>62</v>
      </c>
      <c r="B61" s="22" t="s">
        <v>83</v>
      </c>
      <c r="C61" s="23">
        <v>2072</v>
      </c>
    </row>
    <row r="62" spans="1:3" ht="14" customHeight="1" x14ac:dyDescent="0.35">
      <c r="A62" s="21">
        <v>63</v>
      </c>
      <c r="B62" s="22" t="s">
        <v>84</v>
      </c>
      <c r="C62" s="23">
        <v>2805</v>
      </c>
    </row>
    <row r="63" spans="1:3" ht="14" customHeight="1" x14ac:dyDescent="0.35">
      <c r="A63" s="21">
        <v>64</v>
      </c>
      <c r="B63" s="22" t="s">
        <v>85</v>
      </c>
      <c r="C63" s="23">
        <v>101</v>
      </c>
    </row>
    <row r="64" spans="1:3" ht="14" customHeight="1" x14ac:dyDescent="0.35">
      <c r="A64" s="21">
        <v>65</v>
      </c>
      <c r="B64" s="22" t="s">
        <v>86</v>
      </c>
      <c r="C64" s="23">
        <v>4239</v>
      </c>
    </row>
    <row r="65" spans="1:3" ht="14" customHeight="1" x14ac:dyDescent="0.35">
      <c r="A65" s="21">
        <v>66</v>
      </c>
      <c r="B65" s="22" t="s">
        <v>87</v>
      </c>
      <c r="C65" s="23">
        <v>172</v>
      </c>
    </row>
    <row r="66" spans="1:3" ht="14" customHeight="1" x14ac:dyDescent="0.35">
      <c r="A66" s="21">
        <v>67</v>
      </c>
      <c r="B66" s="22" t="s">
        <v>88</v>
      </c>
      <c r="C66" s="23">
        <v>1000000</v>
      </c>
    </row>
    <row r="67" spans="1:3" ht="14" customHeight="1" x14ac:dyDescent="0.35">
      <c r="A67" s="21">
        <v>68</v>
      </c>
      <c r="B67" s="22" t="s">
        <v>89</v>
      </c>
      <c r="C67" s="23">
        <v>1396</v>
      </c>
    </row>
    <row r="68" spans="1:3" ht="14" customHeight="1" x14ac:dyDescent="0.35">
      <c r="A68" s="21">
        <v>69</v>
      </c>
      <c r="B68" s="22" t="s">
        <v>90</v>
      </c>
      <c r="C68" s="23">
        <v>1217</v>
      </c>
    </row>
    <row r="69" spans="1:3" ht="14" customHeight="1" x14ac:dyDescent="0.35">
      <c r="A69" s="21">
        <v>70</v>
      </c>
      <c r="B69" s="22" t="s">
        <v>91</v>
      </c>
      <c r="C69" s="23">
        <v>1827</v>
      </c>
    </row>
    <row r="70" spans="1:3" ht="14" customHeight="1" x14ac:dyDescent="0.35">
      <c r="A70" s="21">
        <v>71</v>
      </c>
      <c r="B70" s="22" t="s">
        <v>92</v>
      </c>
      <c r="C70" s="23">
        <v>30389</v>
      </c>
    </row>
    <row r="71" spans="1:3" ht="14" customHeight="1" x14ac:dyDescent="0.35">
      <c r="A71" s="21">
        <v>72</v>
      </c>
      <c r="B71" s="22" t="s">
        <v>93</v>
      </c>
      <c r="C71" s="23">
        <v>547557</v>
      </c>
    </row>
    <row r="72" spans="1:3" ht="14" customHeight="1" x14ac:dyDescent="0.35">
      <c r="A72" s="21">
        <v>75</v>
      </c>
      <c r="B72" s="22" t="s">
        <v>94</v>
      </c>
      <c r="C72" s="23">
        <v>25767</v>
      </c>
    </row>
    <row r="73" spans="1:3" ht="14" customHeight="1" x14ac:dyDescent="0.35">
      <c r="A73" s="21">
        <v>76</v>
      </c>
      <c r="B73" s="22" t="s">
        <v>95</v>
      </c>
      <c r="C73" s="23">
        <v>1012</v>
      </c>
    </row>
    <row r="74" spans="1:3" ht="14" customHeight="1" x14ac:dyDescent="0.35">
      <c r="A74" s="21">
        <v>77</v>
      </c>
      <c r="B74" s="22" t="s">
        <v>96</v>
      </c>
      <c r="C74" s="23">
        <v>6949</v>
      </c>
    </row>
    <row r="75" spans="1:3" ht="14" customHeight="1" x14ac:dyDescent="0.35">
      <c r="A75" s="21">
        <v>78</v>
      </c>
      <c r="B75" s="22" t="s">
        <v>97</v>
      </c>
      <c r="C75" s="23">
        <v>34856</v>
      </c>
    </row>
    <row r="76" spans="1:3" ht="14" customHeight="1" x14ac:dyDescent="0.35">
      <c r="A76" s="21">
        <v>79</v>
      </c>
      <c r="B76" s="22" t="s">
        <v>98</v>
      </c>
      <c r="C76" s="23">
        <v>22754</v>
      </c>
    </row>
    <row r="77" spans="1:3" ht="14" customHeight="1" x14ac:dyDescent="0.35">
      <c r="A77" s="21">
        <v>81</v>
      </c>
      <c r="B77" s="22" t="s">
        <v>99</v>
      </c>
      <c r="C77" s="23">
        <v>1289</v>
      </c>
    </row>
    <row r="78" spans="1:3" ht="14" customHeight="1" x14ac:dyDescent="0.35">
      <c r="A78" s="21">
        <v>82</v>
      </c>
      <c r="B78" s="22" t="s">
        <v>100</v>
      </c>
      <c r="C78" s="23">
        <v>41045</v>
      </c>
    </row>
    <row r="79" spans="1:3" ht="14" customHeight="1" x14ac:dyDescent="0.35">
      <c r="A79" s="21">
        <v>83</v>
      </c>
      <c r="B79" s="22" t="s">
        <v>101</v>
      </c>
      <c r="C79" s="23">
        <v>340</v>
      </c>
    </row>
    <row r="80" spans="1:3" ht="14" customHeight="1" x14ac:dyDescent="0.35">
      <c r="A80" s="21">
        <v>84</v>
      </c>
      <c r="B80" s="22" t="s">
        <v>102</v>
      </c>
      <c r="C80" s="23">
        <v>169</v>
      </c>
    </row>
    <row r="81" spans="1:3" ht="14" customHeight="1" x14ac:dyDescent="0.35">
      <c r="A81" s="21">
        <v>85</v>
      </c>
      <c r="B81" s="22" t="s">
        <v>103</v>
      </c>
      <c r="C81" s="23">
        <v>540</v>
      </c>
    </row>
    <row r="82" spans="1:3" ht="14" customHeight="1" x14ac:dyDescent="0.35">
      <c r="A82" s="21">
        <v>86</v>
      </c>
      <c r="B82" s="22" t="s">
        <v>104</v>
      </c>
      <c r="C82" s="23">
        <v>10716</v>
      </c>
    </row>
    <row r="83" spans="1:3" ht="14" customHeight="1" x14ac:dyDescent="0.35">
      <c r="A83" s="21">
        <v>87</v>
      </c>
      <c r="B83" s="22" t="s">
        <v>105</v>
      </c>
      <c r="C83" s="23">
        <v>24572</v>
      </c>
    </row>
    <row r="84" spans="1:3" ht="14" customHeight="1" x14ac:dyDescent="0.35">
      <c r="A84" s="21">
        <v>88</v>
      </c>
      <c r="B84" s="22" t="s">
        <v>106</v>
      </c>
      <c r="C84" s="23">
        <v>2812</v>
      </c>
    </row>
    <row r="85" spans="1:3" ht="14" customHeight="1" x14ac:dyDescent="0.35">
      <c r="A85" s="21">
        <v>89</v>
      </c>
      <c r="B85" s="22" t="s">
        <v>107</v>
      </c>
      <c r="C85" s="23">
        <v>19685</v>
      </c>
    </row>
    <row r="86" spans="1:3" ht="14" customHeight="1" x14ac:dyDescent="0.35">
      <c r="A86" s="21">
        <v>90</v>
      </c>
      <c r="B86" s="22" t="s">
        <v>108</v>
      </c>
      <c r="C86" s="23">
        <v>2756</v>
      </c>
    </row>
    <row r="87" spans="1:3" ht="14" customHeight="1" x14ac:dyDescent="0.35">
      <c r="A87" s="21">
        <v>91</v>
      </c>
      <c r="B87" s="22" t="s">
        <v>109</v>
      </c>
      <c r="C87" s="23">
        <v>11189</v>
      </c>
    </row>
    <row r="88" spans="1:3" ht="14" customHeight="1" x14ac:dyDescent="0.35">
      <c r="A88" s="21">
        <v>93</v>
      </c>
      <c r="B88" s="22" t="s">
        <v>110</v>
      </c>
      <c r="C88" s="23">
        <v>9053</v>
      </c>
    </row>
    <row r="89" spans="1:3" ht="14" customHeight="1" x14ac:dyDescent="0.35">
      <c r="A89" s="21">
        <v>94</v>
      </c>
      <c r="B89" s="22" t="s">
        <v>111</v>
      </c>
      <c r="C89" s="23">
        <v>10025</v>
      </c>
    </row>
    <row r="90" spans="1:3" ht="14" customHeight="1" x14ac:dyDescent="0.35">
      <c r="A90" s="21">
        <v>95</v>
      </c>
      <c r="B90" s="22" t="s">
        <v>112</v>
      </c>
      <c r="C90" s="23">
        <v>2973190</v>
      </c>
    </row>
    <row r="91" spans="1:3" ht="14" customHeight="1" x14ac:dyDescent="0.35">
      <c r="A91" s="21">
        <v>96</v>
      </c>
      <c r="B91" s="22" t="s">
        <v>113</v>
      </c>
      <c r="C91" s="23">
        <v>1811570</v>
      </c>
    </row>
    <row r="92" spans="1:3" ht="14" customHeight="1" x14ac:dyDescent="0.35">
      <c r="A92" s="21">
        <v>97</v>
      </c>
      <c r="B92" s="22" t="s">
        <v>114</v>
      </c>
      <c r="C92" s="23">
        <v>1628550</v>
      </c>
    </row>
    <row r="93" spans="1:3" ht="14" customHeight="1" x14ac:dyDescent="0.35">
      <c r="A93" s="21">
        <v>98</v>
      </c>
      <c r="B93" s="22" t="s">
        <v>115</v>
      </c>
      <c r="C93" s="23">
        <v>43432</v>
      </c>
    </row>
    <row r="94" spans="1:3" ht="14" customHeight="1" x14ac:dyDescent="0.35">
      <c r="A94" s="21">
        <v>99</v>
      </c>
      <c r="B94" s="22" t="s">
        <v>116</v>
      </c>
      <c r="C94" s="23">
        <v>6889</v>
      </c>
    </row>
    <row r="95" spans="1:3" ht="14" customHeight="1" x14ac:dyDescent="0.35">
      <c r="A95" s="21">
        <v>101</v>
      </c>
      <c r="B95" s="22" t="s">
        <v>117</v>
      </c>
      <c r="C95" s="23">
        <v>2164</v>
      </c>
    </row>
    <row r="96" spans="1:3" ht="14" customHeight="1" x14ac:dyDescent="0.35">
      <c r="A96" s="21">
        <v>102</v>
      </c>
      <c r="B96" s="22" t="s">
        <v>118</v>
      </c>
      <c r="C96" s="23">
        <v>29414</v>
      </c>
    </row>
    <row r="97" spans="1:3" ht="14" customHeight="1" x14ac:dyDescent="0.35">
      <c r="A97" s="21">
        <v>103</v>
      </c>
      <c r="B97" s="22" t="s">
        <v>119</v>
      </c>
      <c r="C97" s="23">
        <v>1083</v>
      </c>
    </row>
    <row r="98" spans="1:3" ht="14" customHeight="1" x14ac:dyDescent="0.35">
      <c r="A98" s="21">
        <v>104</v>
      </c>
      <c r="B98" s="22" t="s">
        <v>120</v>
      </c>
      <c r="C98" s="23">
        <v>364555</v>
      </c>
    </row>
    <row r="99" spans="1:3" ht="14" customHeight="1" x14ac:dyDescent="0.35">
      <c r="A99" s="21">
        <v>105</v>
      </c>
      <c r="B99" s="22" t="s">
        <v>121</v>
      </c>
      <c r="C99" s="23">
        <v>8878</v>
      </c>
    </row>
    <row r="100" spans="1:3" ht="14" customHeight="1" x14ac:dyDescent="0.35">
      <c r="A100" s="21">
        <v>106</v>
      </c>
      <c r="B100" s="22" t="s">
        <v>122</v>
      </c>
      <c r="C100" s="23">
        <v>2699700</v>
      </c>
    </row>
    <row r="101" spans="1:3" ht="14" customHeight="1" x14ac:dyDescent="0.35">
      <c r="A101" s="21">
        <v>107</v>
      </c>
      <c r="B101" s="22" t="s">
        <v>123</v>
      </c>
      <c r="C101" s="23">
        <v>56914</v>
      </c>
    </row>
    <row r="102" spans="1:3" ht="14" customHeight="1" x14ac:dyDescent="0.35">
      <c r="A102" s="21">
        <v>109</v>
      </c>
      <c r="B102" s="22" t="s">
        <v>124</v>
      </c>
      <c r="C102" s="23">
        <v>1782</v>
      </c>
    </row>
    <row r="103" spans="1:3" ht="14" customHeight="1" x14ac:dyDescent="0.35">
      <c r="A103" s="21">
        <v>110</v>
      </c>
      <c r="B103" s="22" t="s">
        <v>125</v>
      </c>
      <c r="C103" s="23">
        <v>1918</v>
      </c>
    </row>
    <row r="104" spans="1:3" ht="14" customHeight="1" x14ac:dyDescent="0.35">
      <c r="A104" s="21">
        <v>111</v>
      </c>
      <c r="B104" s="22" t="s">
        <v>126</v>
      </c>
      <c r="C104" s="23">
        <v>2308</v>
      </c>
    </row>
    <row r="105" spans="1:3" ht="14" customHeight="1" x14ac:dyDescent="0.35">
      <c r="A105" s="21">
        <v>112</v>
      </c>
      <c r="B105" s="22" t="s">
        <v>127</v>
      </c>
      <c r="C105" s="23">
        <v>622</v>
      </c>
    </row>
    <row r="106" spans="1:3" ht="14" customHeight="1" x14ac:dyDescent="0.35">
      <c r="A106" s="21">
        <v>113</v>
      </c>
      <c r="B106" s="22" t="s">
        <v>128</v>
      </c>
      <c r="C106" s="23">
        <v>1023</v>
      </c>
    </row>
    <row r="107" spans="1:3" ht="14" customHeight="1" x14ac:dyDescent="0.35">
      <c r="A107" s="21">
        <v>114</v>
      </c>
      <c r="B107" s="22" t="s">
        <v>129</v>
      </c>
      <c r="C107" s="23">
        <v>3036</v>
      </c>
    </row>
    <row r="108" spans="1:3" ht="14" customHeight="1" x14ac:dyDescent="0.35">
      <c r="A108" s="21">
        <v>115</v>
      </c>
      <c r="B108" s="22" t="s">
        <v>130</v>
      </c>
      <c r="C108" s="23">
        <v>9632</v>
      </c>
    </row>
    <row r="109" spans="1:3" ht="14" customHeight="1" x14ac:dyDescent="0.35">
      <c r="A109" s="21">
        <v>116</v>
      </c>
      <c r="B109" s="22" t="s">
        <v>131</v>
      </c>
      <c r="C109" s="23">
        <v>1759540</v>
      </c>
    </row>
    <row r="110" spans="1:3" ht="14" customHeight="1" x14ac:dyDescent="0.35">
      <c r="A110" s="21">
        <v>117</v>
      </c>
      <c r="B110" s="22" t="s">
        <v>132</v>
      </c>
      <c r="C110" s="23">
        <v>160</v>
      </c>
    </row>
    <row r="111" spans="1:3" ht="14" customHeight="1" x14ac:dyDescent="0.35">
      <c r="A111" s="21">
        <v>118</v>
      </c>
      <c r="B111" s="22" t="s">
        <v>133</v>
      </c>
      <c r="C111" s="23">
        <v>62674</v>
      </c>
    </row>
    <row r="112" spans="1:3" ht="14" customHeight="1" x14ac:dyDescent="0.35">
      <c r="A112" s="21">
        <v>119</v>
      </c>
      <c r="B112" s="22" t="s">
        <v>134</v>
      </c>
      <c r="C112" s="23">
        <v>259</v>
      </c>
    </row>
    <row r="113" spans="1:3" ht="14" customHeight="1" x14ac:dyDescent="0.35">
      <c r="A113" s="21">
        <v>120</v>
      </c>
      <c r="B113" s="22" t="s">
        <v>135</v>
      </c>
      <c r="C113" s="23">
        <v>30</v>
      </c>
    </row>
    <row r="114" spans="1:3" ht="14" customHeight="1" x14ac:dyDescent="0.35">
      <c r="A114" s="21">
        <v>121</v>
      </c>
      <c r="B114" s="22" t="s">
        <v>136</v>
      </c>
      <c r="C114" s="23">
        <v>581795</v>
      </c>
    </row>
    <row r="115" spans="1:3" ht="14" customHeight="1" x14ac:dyDescent="0.35">
      <c r="A115" s="21">
        <v>122</v>
      </c>
      <c r="B115" s="22" t="s">
        <v>137</v>
      </c>
      <c r="C115" s="23">
        <v>9428</v>
      </c>
    </row>
    <row r="116" spans="1:3" ht="14" customHeight="1" x14ac:dyDescent="0.35">
      <c r="A116" s="21">
        <v>123</v>
      </c>
      <c r="B116" s="22" t="s">
        <v>138</v>
      </c>
      <c r="C116" s="23">
        <v>32855</v>
      </c>
    </row>
    <row r="117" spans="1:3" ht="14" customHeight="1" x14ac:dyDescent="0.35">
      <c r="A117" s="21">
        <v>124</v>
      </c>
      <c r="B117" s="22" t="s">
        <v>139</v>
      </c>
      <c r="C117" s="23">
        <v>300</v>
      </c>
    </row>
    <row r="118" spans="1:3" ht="14" customHeight="1" x14ac:dyDescent="0.35">
      <c r="A118" s="21">
        <v>125</v>
      </c>
      <c r="B118" s="22" t="s">
        <v>140</v>
      </c>
      <c r="C118" s="23">
        <v>1220190</v>
      </c>
    </row>
    <row r="119" spans="1:3" ht="14" customHeight="1" x14ac:dyDescent="0.35">
      <c r="A119" s="21">
        <v>126</v>
      </c>
      <c r="B119" s="22" t="s">
        <v>141</v>
      </c>
      <c r="C119" s="23">
        <v>320</v>
      </c>
    </row>
    <row r="120" spans="1:3" ht="14" customHeight="1" x14ac:dyDescent="0.35">
      <c r="A120" s="21">
        <v>128</v>
      </c>
      <c r="B120" s="22" t="s">
        <v>142</v>
      </c>
      <c r="C120" s="23">
        <v>106</v>
      </c>
    </row>
    <row r="121" spans="1:3" ht="14" customHeight="1" x14ac:dyDescent="0.35">
      <c r="A121" s="21">
        <v>129</v>
      </c>
      <c r="B121" s="22" t="s">
        <v>143</v>
      </c>
      <c r="C121" s="23">
        <v>1030700</v>
      </c>
    </row>
    <row r="122" spans="1:3" ht="14" customHeight="1" x14ac:dyDescent="0.35">
      <c r="A122" s="21">
        <v>130</v>
      </c>
      <c r="B122" s="22" t="s">
        <v>144</v>
      </c>
      <c r="C122" s="23">
        <v>203</v>
      </c>
    </row>
    <row r="123" spans="1:3" ht="14" customHeight="1" x14ac:dyDescent="0.35">
      <c r="A123" s="21">
        <v>131</v>
      </c>
      <c r="B123" s="22" t="s">
        <v>145</v>
      </c>
      <c r="C123" s="23">
        <v>375</v>
      </c>
    </row>
    <row r="124" spans="1:3" ht="14" customHeight="1" x14ac:dyDescent="0.35">
      <c r="A124" s="21">
        <v>132</v>
      </c>
      <c r="B124" s="22" t="s">
        <v>146</v>
      </c>
      <c r="C124" s="23">
        <v>1943950</v>
      </c>
    </row>
    <row r="125" spans="1:3" ht="14" customHeight="1" x14ac:dyDescent="0.35">
      <c r="A125" s="21">
        <v>133</v>
      </c>
      <c r="B125" s="22" t="s">
        <v>147</v>
      </c>
      <c r="C125" s="23">
        <v>700</v>
      </c>
    </row>
    <row r="126" spans="1:3" ht="14" customHeight="1" x14ac:dyDescent="0.35">
      <c r="A126" s="21">
        <v>134</v>
      </c>
      <c r="B126" s="22" t="s">
        <v>148</v>
      </c>
      <c r="C126" s="23">
        <v>3285</v>
      </c>
    </row>
    <row r="127" spans="1:3" ht="14" customHeight="1" x14ac:dyDescent="0.35">
      <c r="A127" s="21">
        <v>135</v>
      </c>
      <c r="B127" s="22" t="s">
        <v>149</v>
      </c>
      <c r="C127" s="23">
        <v>1</v>
      </c>
    </row>
    <row r="128" spans="1:3" ht="14" customHeight="1" x14ac:dyDescent="0.35">
      <c r="A128" s="21">
        <v>136</v>
      </c>
      <c r="B128" s="22" t="s">
        <v>150</v>
      </c>
      <c r="C128" s="23">
        <v>1553560</v>
      </c>
    </row>
    <row r="129" spans="1:3" ht="14" customHeight="1" x14ac:dyDescent="0.35">
      <c r="A129" s="21">
        <v>137</v>
      </c>
      <c r="B129" s="22" t="s">
        <v>151</v>
      </c>
      <c r="C129" s="23">
        <v>1345</v>
      </c>
    </row>
    <row r="130" spans="1:3" ht="14" customHeight="1" x14ac:dyDescent="0.35">
      <c r="A130" s="21">
        <v>139</v>
      </c>
      <c r="B130" s="22" t="s">
        <v>152</v>
      </c>
      <c r="C130" s="23">
        <v>4463</v>
      </c>
    </row>
    <row r="131" spans="1:3" ht="14" customHeight="1" x14ac:dyDescent="0.35">
      <c r="A131" s="21">
        <v>140</v>
      </c>
      <c r="B131" s="22" t="s">
        <v>153</v>
      </c>
      <c r="C131" s="23">
        <v>78638</v>
      </c>
    </row>
    <row r="132" spans="1:3" ht="14" customHeight="1" x14ac:dyDescent="0.35">
      <c r="A132" s="21">
        <v>141</v>
      </c>
      <c r="B132" s="22" t="s">
        <v>154</v>
      </c>
      <c r="C132" s="23">
        <v>65329</v>
      </c>
    </row>
    <row r="133" spans="1:3" ht="14" customHeight="1" x14ac:dyDescent="0.35">
      <c r="A133" s="21">
        <v>142</v>
      </c>
      <c r="B133" s="22" t="s">
        <v>155</v>
      </c>
      <c r="C133" s="23">
        <v>82329</v>
      </c>
    </row>
    <row r="134" spans="1:3" ht="14" customHeight="1" x14ac:dyDescent="0.35">
      <c r="A134" s="21">
        <v>143</v>
      </c>
      <c r="B134" s="22" t="s">
        <v>156</v>
      </c>
      <c r="C134" s="23">
        <v>20</v>
      </c>
    </row>
    <row r="135" spans="1:3" ht="14" customHeight="1" x14ac:dyDescent="0.35">
      <c r="A135" s="21">
        <v>144</v>
      </c>
      <c r="B135" s="22" t="s">
        <v>157</v>
      </c>
      <c r="C135" s="23">
        <v>14335</v>
      </c>
    </row>
    <row r="136" spans="1:3" ht="14" customHeight="1" x14ac:dyDescent="0.35">
      <c r="A136" s="21">
        <v>145</v>
      </c>
      <c r="B136" s="22" t="s">
        <v>158</v>
      </c>
      <c r="C136" s="23">
        <v>3372</v>
      </c>
    </row>
    <row r="137" spans="1:3" ht="14" customHeight="1" x14ac:dyDescent="0.35">
      <c r="A137" s="21">
        <v>146</v>
      </c>
      <c r="B137" s="22" t="s">
        <v>159</v>
      </c>
      <c r="C137" s="23">
        <v>1828</v>
      </c>
    </row>
    <row r="138" spans="1:3" ht="14" customHeight="1" x14ac:dyDescent="0.35">
      <c r="A138" s="21">
        <v>147</v>
      </c>
      <c r="B138" s="22" t="s">
        <v>160</v>
      </c>
      <c r="C138" s="23">
        <v>26331</v>
      </c>
    </row>
    <row r="139" spans="1:3" ht="14" customHeight="1" x14ac:dyDescent="0.35">
      <c r="A139" s="21">
        <v>148</v>
      </c>
      <c r="B139" s="22" t="s">
        <v>161</v>
      </c>
      <c r="C139" s="23">
        <v>12034</v>
      </c>
    </row>
    <row r="140" spans="1:3" ht="14" customHeight="1" x14ac:dyDescent="0.35">
      <c r="A140" s="21">
        <v>149</v>
      </c>
      <c r="B140" s="22" t="s">
        <v>162</v>
      </c>
      <c r="C140" s="23">
        <v>1266700</v>
      </c>
    </row>
    <row r="141" spans="1:3" ht="14" customHeight="1" x14ac:dyDescent="0.35">
      <c r="A141" s="21">
        <v>150</v>
      </c>
      <c r="B141" s="22" t="s">
        <v>163</v>
      </c>
      <c r="C141" s="23">
        <v>91077</v>
      </c>
    </row>
    <row r="142" spans="1:3" ht="14" customHeight="1" x14ac:dyDescent="0.35">
      <c r="A142" s="21">
        <v>151</v>
      </c>
      <c r="B142" s="22" t="s">
        <v>164</v>
      </c>
      <c r="C142" s="23">
        <v>260</v>
      </c>
    </row>
    <row r="143" spans="1:3" ht="14" customHeight="1" x14ac:dyDescent="0.35">
      <c r="A143" s="21">
        <v>152</v>
      </c>
      <c r="B143" s="22" t="s">
        <v>165</v>
      </c>
      <c r="C143" s="23">
        <v>12041</v>
      </c>
    </row>
    <row r="144" spans="1:3" ht="14" customHeight="1" x14ac:dyDescent="0.35">
      <c r="A144" s="21">
        <v>153</v>
      </c>
      <c r="B144" s="22" t="s">
        <v>166</v>
      </c>
      <c r="C144" s="23">
        <v>2522</v>
      </c>
    </row>
    <row r="145" spans="1:3" ht="14" customHeight="1" x14ac:dyDescent="0.35">
      <c r="A145" s="21">
        <v>155</v>
      </c>
      <c r="B145" s="22" t="s">
        <v>167</v>
      </c>
      <c r="C145" s="23">
        <v>365268</v>
      </c>
    </row>
    <row r="146" spans="1:3" ht="14" customHeight="1" x14ac:dyDescent="0.35">
      <c r="A146" s="21">
        <v>156</v>
      </c>
      <c r="B146" s="22" t="s">
        <v>168</v>
      </c>
      <c r="C146" s="23">
        <v>3095</v>
      </c>
    </row>
    <row r="147" spans="1:3" ht="14" customHeight="1" x14ac:dyDescent="0.35">
      <c r="A147" s="21">
        <v>157</v>
      </c>
      <c r="B147" s="22" t="s">
        <v>169</v>
      </c>
      <c r="C147" s="23">
        <v>77088</v>
      </c>
    </row>
    <row r="148" spans="1:3" ht="14" customHeight="1" x14ac:dyDescent="0.35">
      <c r="A148" s="21">
        <v>158</v>
      </c>
      <c r="B148" s="22" t="s">
        <v>170</v>
      </c>
      <c r="C148" s="23">
        <v>460</v>
      </c>
    </row>
    <row r="149" spans="1:3" ht="14" customHeight="1" x14ac:dyDescent="0.35">
      <c r="A149" s="21">
        <v>159</v>
      </c>
      <c r="B149" s="22" t="s">
        <v>171</v>
      </c>
      <c r="C149" s="23">
        <v>7434</v>
      </c>
    </row>
    <row r="150" spans="1:3" ht="14" customHeight="1" x14ac:dyDescent="0.35">
      <c r="A150" s="21">
        <v>160</v>
      </c>
      <c r="B150" s="22" t="s">
        <v>172</v>
      </c>
      <c r="C150" s="23">
        <v>45286</v>
      </c>
    </row>
    <row r="151" spans="1:3" ht="14" customHeight="1" x14ac:dyDescent="0.35">
      <c r="A151" s="21">
        <v>161</v>
      </c>
      <c r="B151" s="22" t="s">
        <v>173</v>
      </c>
      <c r="C151" s="23">
        <v>3973</v>
      </c>
    </row>
    <row r="152" spans="1:3" ht="14" customHeight="1" x14ac:dyDescent="0.35">
      <c r="A152" s="21">
        <v>162</v>
      </c>
      <c r="B152" s="22" t="s">
        <v>174</v>
      </c>
      <c r="C152" s="23">
        <v>1280000</v>
      </c>
    </row>
    <row r="153" spans="1:3" ht="14" customHeight="1" x14ac:dyDescent="0.35">
      <c r="A153" s="21">
        <v>163</v>
      </c>
      <c r="B153" s="22" t="s">
        <v>175</v>
      </c>
      <c r="C153" s="23">
        <v>29817</v>
      </c>
    </row>
    <row r="154" spans="1:3" ht="14" customHeight="1" x14ac:dyDescent="0.35">
      <c r="A154" s="21">
        <v>164</v>
      </c>
      <c r="B154" s="22" t="s">
        <v>176</v>
      </c>
      <c r="C154" s="23">
        <v>30623</v>
      </c>
    </row>
    <row r="155" spans="1:3" ht="14" customHeight="1" x14ac:dyDescent="0.35">
      <c r="A155" s="21">
        <v>165</v>
      </c>
      <c r="B155" s="22" t="s">
        <v>177</v>
      </c>
      <c r="C155" s="23">
        <v>9159</v>
      </c>
    </row>
    <row r="156" spans="1:3" ht="14" customHeight="1" x14ac:dyDescent="0.35">
      <c r="A156" s="21">
        <v>166</v>
      </c>
      <c r="B156" s="22" t="s">
        <v>178</v>
      </c>
      <c r="C156" s="23">
        <v>887</v>
      </c>
    </row>
    <row r="157" spans="1:3" ht="14" customHeight="1" x14ac:dyDescent="0.35">
      <c r="A157" s="21">
        <v>167</v>
      </c>
      <c r="B157" s="22" t="s">
        <v>179</v>
      </c>
      <c r="C157" s="23">
        <v>1161</v>
      </c>
    </row>
    <row r="158" spans="1:3" ht="14" customHeight="1" x14ac:dyDescent="0.35">
      <c r="A158" s="21">
        <v>169</v>
      </c>
      <c r="B158" s="22" t="s">
        <v>180</v>
      </c>
      <c r="C158" s="23">
        <v>23017</v>
      </c>
    </row>
    <row r="159" spans="1:3" ht="14" customHeight="1" x14ac:dyDescent="0.35">
      <c r="A159" s="21">
        <v>170</v>
      </c>
      <c r="B159" s="22" t="s">
        <v>181</v>
      </c>
      <c r="C159" s="23">
        <v>16376870</v>
      </c>
    </row>
    <row r="160" spans="1:3" ht="14" customHeight="1" x14ac:dyDescent="0.35">
      <c r="A160" s="21">
        <v>171</v>
      </c>
      <c r="B160" s="22" t="s">
        <v>182</v>
      </c>
      <c r="C160" s="23">
        <v>2467</v>
      </c>
    </row>
    <row r="161" spans="1:3" ht="14" customHeight="1" x14ac:dyDescent="0.35">
      <c r="A161" s="21">
        <v>173</v>
      </c>
      <c r="B161" s="22" t="s">
        <v>183</v>
      </c>
      <c r="C161" s="23">
        <v>390</v>
      </c>
    </row>
    <row r="162" spans="1:3" ht="14" customHeight="1" x14ac:dyDescent="0.35">
      <c r="A162" s="21">
        <v>175</v>
      </c>
      <c r="B162" s="22" t="s">
        <v>184</v>
      </c>
      <c r="C162" s="23">
        <v>610</v>
      </c>
    </row>
    <row r="163" spans="1:3" ht="14" customHeight="1" x14ac:dyDescent="0.35">
      <c r="A163" s="21">
        <v>176</v>
      </c>
      <c r="B163" s="22" t="s">
        <v>185</v>
      </c>
      <c r="C163" s="23">
        <v>53</v>
      </c>
    </row>
    <row r="164" spans="1:3" ht="14" customHeight="1" x14ac:dyDescent="0.35">
      <c r="A164" s="21">
        <v>178</v>
      </c>
      <c r="B164" s="22" t="s">
        <v>186</v>
      </c>
      <c r="C164" s="23">
        <v>283</v>
      </c>
    </row>
    <row r="165" spans="1:3" ht="14" customHeight="1" x14ac:dyDescent="0.35">
      <c r="A165" s="21">
        <v>179</v>
      </c>
      <c r="B165" s="22" t="s">
        <v>187</v>
      </c>
      <c r="C165" s="23">
        <v>60</v>
      </c>
    </row>
    <row r="166" spans="1:3" ht="14" customHeight="1" x14ac:dyDescent="0.35">
      <c r="A166" s="21">
        <v>181</v>
      </c>
      <c r="B166" s="22" t="s">
        <v>188</v>
      </c>
      <c r="C166" s="23">
        <v>2149690</v>
      </c>
    </row>
    <row r="167" spans="1:3" ht="14" customHeight="1" x14ac:dyDescent="0.35">
      <c r="A167" s="21">
        <v>182</v>
      </c>
      <c r="B167" s="22" t="s">
        <v>189</v>
      </c>
      <c r="C167" s="23">
        <v>19253</v>
      </c>
    </row>
    <row r="168" spans="1:3" ht="14" customHeight="1" x14ac:dyDescent="0.35">
      <c r="A168" s="21">
        <v>183</v>
      </c>
      <c r="B168" s="22" t="s">
        <v>190</v>
      </c>
      <c r="C168" s="23">
        <v>8746</v>
      </c>
    </row>
    <row r="169" spans="1:3" ht="14" customHeight="1" x14ac:dyDescent="0.35">
      <c r="A169" s="21">
        <v>184</v>
      </c>
      <c r="B169" s="22" t="s">
        <v>191</v>
      </c>
      <c r="C169" s="23">
        <v>460</v>
      </c>
    </row>
    <row r="170" spans="1:3" ht="14" customHeight="1" x14ac:dyDescent="0.35">
      <c r="A170" s="21">
        <v>185</v>
      </c>
      <c r="B170" s="22" t="s">
        <v>192</v>
      </c>
      <c r="C170" s="23">
        <v>7218</v>
      </c>
    </row>
    <row r="171" spans="1:3" ht="14" customHeight="1" x14ac:dyDescent="0.35">
      <c r="A171" s="21">
        <v>186</v>
      </c>
      <c r="B171" s="22" t="s">
        <v>193</v>
      </c>
      <c r="C171" s="23">
        <v>700</v>
      </c>
    </row>
    <row r="172" spans="1:3" ht="14" customHeight="1" x14ac:dyDescent="0.35">
      <c r="A172" s="21">
        <v>187</v>
      </c>
      <c r="B172" s="22" t="s">
        <v>194</v>
      </c>
      <c r="C172" s="23">
        <v>34</v>
      </c>
    </row>
    <row r="173" spans="1:3" ht="14" customHeight="1" x14ac:dyDescent="0.35">
      <c r="A173" s="21">
        <v>188</v>
      </c>
      <c r="B173" s="22" t="s">
        <v>195</v>
      </c>
      <c r="C173" s="23">
        <v>48088</v>
      </c>
    </row>
    <row r="174" spans="1:3" ht="14" customHeight="1" x14ac:dyDescent="0.35">
      <c r="A174" s="21">
        <v>189</v>
      </c>
      <c r="B174" s="22" t="s">
        <v>196</v>
      </c>
      <c r="C174" s="23">
        <v>2014</v>
      </c>
    </row>
    <row r="175" spans="1:3" ht="14" customHeight="1" x14ac:dyDescent="0.35">
      <c r="A175" s="21">
        <v>190</v>
      </c>
      <c r="B175" s="22" t="s">
        <v>197</v>
      </c>
      <c r="C175" s="23">
        <v>2799</v>
      </c>
    </row>
    <row r="176" spans="1:3" ht="14" customHeight="1" x14ac:dyDescent="0.35">
      <c r="A176" s="21">
        <v>191</v>
      </c>
      <c r="B176" s="22" t="s">
        <v>198</v>
      </c>
      <c r="C176" s="23">
        <v>62734</v>
      </c>
    </row>
    <row r="177" spans="1:3" ht="14" customHeight="1" x14ac:dyDescent="0.35">
      <c r="A177" s="21">
        <v>192</v>
      </c>
      <c r="B177" s="22" t="s">
        <v>199</v>
      </c>
      <c r="C177" s="23">
        <v>1213090</v>
      </c>
    </row>
    <row r="178" spans="1:3" ht="14" customHeight="1" x14ac:dyDescent="0.35">
      <c r="A178" s="21">
        <v>193</v>
      </c>
      <c r="B178" s="22" t="s">
        <v>200</v>
      </c>
      <c r="C178" s="23">
        <v>9723</v>
      </c>
    </row>
    <row r="179" spans="1:3" ht="14" customHeight="1" x14ac:dyDescent="0.35">
      <c r="A179" s="21">
        <v>194</v>
      </c>
      <c r="B179" s="22" t="s">
        <v>201</v>
      </c>
      <c r="C179" s="23">
        <v>610952</v>
      </c>
    </row>
    <row r="180" spans="1:3" ht="14" customHeight="1" x14ac:dyDescent="0.35">
      <c r="A180" s="21">
        <v>195</v>
      </c>
      <c r="B180" s="22" t="s">
        <v>202</v>
      </c>
      <c r="C180" s="23">
        <v>4988</v>
      </c>
    </row>
    <row r="181" spans="1:3" ht="14" customHeight="1" x14ac:dyDescent="0.35">
      <c r="A181" s="21">
        <v>196</v>
      </c>
      <c r="B181" s="22" t="s">
        <v>203</v>
      </c>
      <c r="C181" s="23">
        <v>6271</v>
      </c>
    </row>
    <row r="182" spans="1:3" ht="14" customHeight="1" x14ac:dyDescent="0.35">
      <c r="A182" s="21">
        <v>197</v>
      </c>
      <c r="B182" s="22" t="s">
        <v>204</v>
      </c>
      <c r="C182" s="23">
        <v>390</v>
      </c>
    </row>
    <row r="183" spans="1:3" ht="14" customHeight="1" x14ac:dyDescent="0.35">
      <c r="A183" s="21">
        <v>199</v>
      </c>
      <c r="B183" s="22" t="s">
        <v>205</v>
      </c>
      <c r="C183" s="23">
        <v>1765048</v>
      </c>
    </row>
    <row r="184" spans="1:3" ht="14" customHeight="1" x14ac:dyDescent="0.35">
      <c r="A184" s="21">
        <v>200</v>
      </c>
      <c r="B184" s="22" t="s">
        <v>206</v>
      </c>
      <c r="C184" s="23">
        <v>156</v>
      </c>
    </row>
    <row r="185" spans="1:3" ht="14" customHeight="1" x14ac:dyDescent="0.35">
      <c r="A185" s="21">
        <v>201</v>
      </c>
      <c r="B185" s="22" t="s">
        <v>207</v>
      </c>
      <c r="C185" s="23">
        <v>41034</v>
      </c>
    </row>
    <row r="186" spans="1:3" ht="14" customHeight="1" x14ac:dyDescent="0.35">
      <c r="A186" s="21">
        <v>202</v>
      </c>
      <c r="B186" s="22" t="s">
        <v>208</v>
      </c>
      <c r="C186" s="23">
        <v>39516</v>
      </c>
    </row>
    <row r="187" spans="1:3" ht="14" customHeight="1" x14ac:dyDescent="0.35">
      <c r="A187" s="21">
        <v>203</v>
      </c>
      <c r="B187" s="22" t="s">
        <v>209</v>
      </c>
      <c r="C187" s="23">
        <v>18363</v>
      </c>
    </row>
    <row r="188" spans="1:3" ht="14" customHeight="1" x14ac:dyDescent="0.35">
      <c r="A188" s="21">
        <v>204</v>
      </c>
      <c r="B188" s="22" t="s">
        <v>210</v>
      </c>
      <c r="C188" s="23">
        <v>3541</v>
      </c>
    </row>
    <row r="189" spans="1:3" ht="14" customHeight="1" x14ac:dyDescent="0.35">
      <c r="A189" s="21">
        <v>205</v>
      </c>
      <c r="B189" s="22" t="s">
        <v>211</v>
      </c>
      <c r="C189" s="23">
        <v>13996</v>
      </c>
    </row>
    <row r="190" spans="1:3" ht="14" customHeight="1" x14ac:dyDescent="0.35">
      <c r="A190" s="21">
        <v>206</v>
      </c>
      <c r="B190" s="22" t="s">
        <v>212</v>
      </c>
      <c r="C190" s="23">
        <v>8858</v>
      </c>
    </row>
    <row r="191" spans="1:3" ht="14" customHeight="1" x14ac:dyDescent="0.35">
      <c r="A191" s="21">
        <v>207</v>
      </c>
      <c r="B191" s="22" t="s">
        <v>213</v>
      </c>
      <c r="C191" s="23">
        <v>51089</v>
      </c>
    </row>
    <row r="192" spans="1:3" ht="14" customHeight="1" x14ac:dyDescent="0.35">
      <c r="A192" s="21">
        <v>208</v>
      </c>
      <c r="B192" s="22" t="s">
        <v>214</v>
      </c>
      <c r="C192" s="23">
        <v>1487</v>
      </c>
    </row>
    <row r="193" spans="1:3" ht="14" customHeight="1" x14ac:dyDescent="0.35">
      <c r="A193" s="21">
        <v>209</v>
      </c>
      <c r="B193" s="22" t="s">
        <v>215</v>
      </c>
      <c r="C193" s="23">
        <v>5439</v>
      </c>
    </row>
    <row r="194" spans="1:3" ht="14" customHeight="1" x14ac:dyDescent="0.35">
      <c r="A194" s="21">
        <v>210</v>
      </c>
      <c r="B194" s="22" t="s">
        <v>216</v>
      </c>
      <c r="C194" s="23">
        <v>10</v>
      </c>
    </row>
    <row r="195" spans="1:3" ht="14" customHeight="1" x14ac:dyDescent="0.35">
      <c r="A195" s="21">
        <v>211</v>
      </c>
      <c r="B195" s="22" t="s">
        <v>217</v>
      </c>
      <c r="C195" s="23">
        <v>720</v>
      </c>
    </row>
    <row r="196" spans="1:3" ht="14" customHeight="1" x14ac:dyDescent="0.35">
      <c r="A196" s="21">
        <v>212</v>
      </c>
      <c r="B196" s="22" t="s">
        <v>218</v>
      </c>
      <c r="C196" s="23">
        <v>513</v>
      </c>
    </row>
    <row r="197" spans="1:3" ht="14" customHeight="1" x14ac:dyDescent="0.35">
      <c r="A197" s="21">
        <v>213</v>
      </c>
      <c r="B197" s="22" t="s">
        <v>219</v>
      </c>
      <c r="C197" s="23">
        <v>15536</v>
      </c>
    </row>
    <row r="198" spans="1:3" ht="14" customHeight="1" x14ac:dyDescent="0.35">
      <c r="A198" s="21">
        <v>214</v>
      </c>
      <c r="B198" s="22" t="s">
        <v>220</v>
      </c>
      <c r="C198" s="23">
        <v>76963</v>
      </c>
    </row>
    <row r="199" spans="1:3" ht="14" customHeight="1" x14ac:dyDescent="0.35">
      <c r="A199" s="21">
        <v>215</v>
      </c>
      <c r="B199" s="22" t="s">
        <v>221</v>
      </c>
      <c r="C199" s="23">
        <v>46993</v>
      </c>
    </row>
    <row r="200" spans="1:3" ht="14" customHeight="1" x14ac:dyDescent="0.35">
      <c r="A200" s="21">
        <v>216</v>
      </c>
      <c r="B200" s="22" t="s">
        <v>222</v>
      </c>
      <c r="C200" s="23">
        <v>950</v>
      </c>
    </row>
    <row r="201" spans="1:3" ht="14" customHeight="1" x14ac:dyDescent="0.35">
      <c r="A201" s="21">
        <v>217</v>
      </c>
      <c r="B201" s="22" t="s">
        <v>223</v>
      </c>
      <c r="C201" s="23">
        <v>30</v>
      </c>
    </row>
    <row r="202" spans="1:3" ht="14" customHeight="1" x14ac:dyDescent="0.35">
      <c r="A202" s="21">
        <v>219</v>
      </c>
      <c r="B202" s="22" t="s">
        <v>224</v>
      </c>
      <c r="C202" s="23">
        <v>19981</v>
      </c>
    </row>
    <row r="203" spans="1:3" ht="14" customHeight="1" x14ac:dyDescent="0.35">
      <c r="A203" s="21">
        <v>220</v>
      </c>
      <c r="B203" s="22" t="s">
        <v>225</v>
      </c>
      <c r="C203" s="23">
        <v>57932</v>
      </c>
    </row>
    <row r="204" spans="1:3" ht="14" customHeight="1" x14ac:dyDescent="0.35">
      <c r="A204" s="21">
        <v>221</v>
      </c>
      <c r="B204" s="22" t="s">
        <v>226</v>
      </c>
      <c r="C204" s="23">
        <v>836</v>
      </c>
    </row>
    <row r="205" spans="1:3" ht="14" customHeight="1" x14ac:dyDescent="0.35">
      <c r="A205" s="21">
        <v>222</v>
      </c>
      <c r="B205" s="22" t="s">
        <v>227</v>
      </c>
      <c r="C205" s="23">
        <v>24193</v>
      </c>
    </row>
    <row r="206" spans="1:3" ht="14" customHeight="1" x14ac:dyDescent="0.35">
      <c r="A206" s="21">
        <v>223</v>
      </c>
      <c r="B206" s="22" t="s">
        <v>228</v>
      </c>
      <c r="C206" s="23">
        <v>9147420</v>
      </c>
    </row>
    <row r="207" spans="1:3" ht="14" customHeight="1" x14ac:dyDescent="0.35">
      <c r="A207" s="21">
        <v>224</v>
      </c>
      <c r="B207" s="22" t="s">
        <v>229</v>
      </c>
      <c r="C207" s="23">
        <v>17502</v>
      </c>
    </row>
    <row r="208" spans="1:3" ht="14" customHeight="1" x14ac:dyDescent="0.35">
      <c r="A208" s="21">
        <v>225</v>
      </c>
      <c r="B208" s="22" t="s">
        <v>230</v>
      </c>
      <c r="C208" s="23">
        <v>4254</v>
      </c>
    </row>
    <row r="209" spans="1:3" ht="14" customHeight="1" x14ac:dyDescent="0.35">
      <c r="A209" s="21">
        <v>226</v>
      </c>
      <c r="B209" s="22" t="s">
        <v>231</v>
      </c>
      <c r="C209" s="23">
        <v>1219</v>
      </c>
    </row>
    <row r="210" spans="1:3" ht="14" customHeight="1" x14ac:dyDescent="0.35">
      <c r="A210" s="21">
        <v>227</v>
      </c>
      <c r="B210" s="22" t="s">
        <v>232</v>
      </c>
      <c r="C210" s="23">
        <v>88205</v>
      </c>
    </row>
    <row r="211" spans="1:3" ht="14" customHeight="1" x14ac:dyDescent="0.35">
      <c r="A211" s="21">
        <v>228</v>
      </c>
      <c r="B211" s="22" t="s">
        <v>233</v>
      </c>
      <c r="C211" s="23">
        <v>31007</v>
      </c>
    </row>
    <row r="212" spans="1:3" ht="14" customHeight="1" x14ac:dyDescent="0.35">
      <c r="A212" s="21">
        <v>230</v>
      </c>
      <c r="B212" s="22" t="s">
        <v>234</v>
      </c>
      <c r="C212" s="23">
        <v>266</v>
      </c>
    </row>
    <row r="213" spans="1:3" ht="14" customHeight="1" x14ac:dyDescent="0.35">
      <c r="A213" s="21">
        <v>231</v>
      </c>
      <c r="B213" s="22" t="s">
        <v>235</v>
      </c>
      <c r="C213" s="23">
        <v>52797</v>
      </c>
    </row>
    <row r="214" spans="1:3" ht="14" customHeight="1" x14ac:dyDescent="0.35">
      <c r="A214" s="21">
        <v>232</v>
      </c>
      <c r="B214" s="22" t="s">
        <v>236</v>
      </c>
      <c r="C214" s="23">
        <v>74339</v>
      </c>
    </row>
    <row r="215" spans="1:3" ht="14" customHeight="1" x14ac:dyDescent="0.35">
      <c r="A215" s="21">
        <v>233</v>
      </c>
      <c r="B215" s="25" t="s">
        <v>237</v>
      </c>
      <c r="C215" s="26">
        <v>38685</v>
      </c>
    </row>
  </sheetData>
  <hyperlinks>
    <hyperlink ref="B2" r:id="rId1" xr:uid="{2F3395EC-6CDB-4D09-B3AE-F43415AA4996}"/>
    <hyperlink ref="B3" r:id="rId2" xr:uid="{BB3A59F3-222F-41B5-B239-C3920E6354A0}"/>
    <hyperlink ref="B4" r:id="rId3" xr:uid="{0DDA21E3-BDC3-4B3C-9AD9-1A0312860D67}"/>
    <hyperlink ref="B5" r:id="rId4" xr:uid="{E782E390-EA05-4E3A-9E13-FF8DC712D4C2}"/>
    <hyperlink ref="B6" r:id="rId5" xr:uid="{3D536466-4CF5-4BD6-BE60-D24E59A8FF0E}"/>
    <hyperlink ref="B7" r:id="rId6" xr:uid="{6BE05DA5-CB7C-4CB4-ADA5-B85C06C2ED0F}"/>
    <hyperlink ref="B8" r:id="rId7" xr:uid="{75608BDB-4223-4010-BE41-CE9FE8F544A1}"/>
    <hyperlink ref="B9" r:id="rId8" xr:uid="{D6388CA8-52BE-464B-8821-691DC1FC609F}"/>
    <hyperlink ref="B10" r:id="rId9" xr:uid="{CDD8BFC9-F804-44D3-A746-8B7096750444}"/>
    <hyperlink ref="B11" r:id="rId10" xr:uid="{ACA6E50B-BAF8-49B9-895B-F8AE7C47F45D}"/>
    <hyperlink ref="B12" r:id="rId11" xr:uid="{34182BF4-9C2A-4891-A423-B9C4E3899725}"/>
    <hyperlink ref="B13" r:id="rId12" xr:uid="{BA72E49F-2240-4103-B48A-440ACDE1B0F4}"/>
    <hyperlink ref="B14" r:id="rId13" xr:uid="{0D25B82F-DB1C-4D99-A72C-A2D64E533220}"/>
    <hyperlink ref="B15" r:id="rId14" xr:uid="{A5449C7D-1019-47A1-8462-953B865BC533}"/>
    <hyperlink ref="B16" r:id="rId15" xr:uid="{BB11701C-369A-492F-ACC2-098DEB5C4201}"/>
    <hyperlink ref="B17" r:id="rId16" xr:uid="{B87EB7BA-C17A-4F47-8983-E09AA35743C4}"/>
    <hyperlink ref="B18" r:id="rId17" xr:uid="{9A4411CA-1B9B-4A82-9A51-80ADA0F7550E}"/>
    <hyperlink ref="B19" r:id="rId18" xr:uid="{7C9D0D51-93F5-4128-BB55-D129AD556862}"/>
    <hyperlink ref="B20" r:id="rId19" xr:uid="{E65FD95C-CD87-46E6-BB81-C72737E6BC3E}"/>
    <hyperlink ref="B21" r:id="rId20" xr:uid="{F3761562-F95D-4F1D-A1C8-7EF28902DC28}"/>
    <hyperlink ref="B22" r:id="rId21" xr:uid="{9F4E8952-619F-4822-83D5-BBEFA96FEAD8}"/>
    <hyperlink ref="B23" r:id="rId22" xr:uid="{2AE45C7F-18BE-48DB-A994-D8F95FAF7EB2}"/>
    <hyperlink ref="B24" r:id="rId23" xr:uid="{19749B7C-7FF8-48FF-A9C1-60321C0AFD92}"/>
    <hyperlink ref="B25" r:id="rId24" xr:uid="{827BBFA9-5271-4380-903E-27201414C50F}"/>
    <hyperlink ref="B26" r:id="rId25" xr:uid="{7F6FF8B9-A53F-417A-89C0-851E6FF38FD4}"/>
    <hyperlink ref="B27" r:id="rId26" xr:uid="{91F75B5C-B13C-4640-BF6A-20E08B402FC3}"/>
    <hyperlink ref="B28" r:id="rId27" xr:uid="{2DDB86FC-55BE-4DEA-9D96-F9A987DA193D}"/>
    <hyperlink ref="B29" r:id="rId28" xr:uid="{78EFED4B-5FAA-4B1B-B07B-03E50F9FC066}"/>
    <hyperlink ref="B30" r:id="rId29" xr:uid="{AA45FA7A-DDF4-44B9-99C9-85B1B5B07253}"/>
    <hyperlink ref="B31" r:id="rId30" xr:uid="{E0A75A50-0125-4A6C-BA81-89EFADD0B07A}"/>
    <hyperlink ref="B32" r:id="rId31" xr:uid="{80411413-D1B6-459F-B551-246F1A8F0A4A}"/>
    <hyperlink ref="B33" r:id="rId32" xr:uid="{881FE345-9C14-40AA-8ACD-60526DF7E220}"/>
    <hyperlink ref="B34" r:id="rId33" xr:uid="{98306589-2946-4987-AEF2-E2948CB82BE9}"/>
    <hyperlink ref="B35" r:id="rId34" xr:uid="{0548B614-8CCC-4260-8928-D5B3149E9D6D}"/>
    <hyperlink ref="B36" r:id="rId35" xr:uid="{A6ABB63A-20CA-4C8D-9449-3C2AF9F6366D}"/>
    <hyperlink ref="B37" r:id="rId36" xr:uid="{BF068D50-7CDD-45B2-9971-C2207CB28792}"/>
    <hyperlink ref="B38" r:id="rId37" xr:uid="{B514D95D-FCDC-4878-91D6-995F52B90EDE}"/>
    <hyperlink ref="B39" r:id="rId38" xr:uid="{7A6EB9D0-358D-4D1D-ACD3-4CEE770C1186}"/>
    <hyperlink ref="B40" r:id="rId39" xr:uid="{4862761B-60F5-4669-9F13-386704F86CFF}"/>
    <hyperlink ref="B41" r:id="rId40" xr:uid="{8943F9AC-75A4-4FEB-867F-BC3E0EBBA3E1}"/>
    <hyperlink ref="B42" r:id="rId41" xr:uid="{0DED32EA-FFB1-4F92-83DC-186EC9D8AFDC}"/>
    <hyperlink ref="B43" r:id="rId42" xr:uid="{DD0C524F-2CB3-4FD7-9165-40AD1E7BA3DD}"/>
    <hyperlink ref="B44" r:id="rId43" xr:uid="{E1695ACB-1F2B-4767-8670-250E4198E041}"/>
    <hyperlink ref="B45" r:id="rId44" xr:uid="{0E81BE99-91A8-49E2-A806-FB9F8742BD67}"/>
    <hyperlink ref="B46" r:id="rId45" xr:uid="{4C3708C8-1D90-4A79-A87A-7C75EC8DD3A5}"/>
    <hyperlink ref="B47" r:id="rId46" xr:uid="{7148CE29-1E8C-4165-B7C9-A418F5CBB6A8}"/>
    <hyperlink ref="B48" r:id="rId47" xr:uid="{11373B6C-AF3F-42EA-8090-37358CFDF246}"/>
    <hyperlink ref="B49" r:id="rId48" xr:uid="{AA562243-35D6-4EC3-ADA6-C90DD39DD565}"/>
    <hyperlink ref="B50" r:id="rId49" xr:uid="{6B6850A8-E0C1-450E-9909-5EEFC2E4E4E0}"/>
    <hyperlink ref="B51" r:id="rId50" xr:uid="{25C45724-DA36-4407-ACC3-1311267A1D28}"/>
    <hyperlink ref="B52" r:id="rId51" xr:uid="{C86F79CB-AEBB-4C89-B4DE-F8BF93EE2FCA}"/>
    <hyperlink ref="B53" r:id="rId52" display="Czech Republic (Czechia)" xr:uid="{865BDBD0-4225-4E40-AC6A-88AD1A894BAF}"/>
    <hyperlink ref="B54" r:id="rId53" xr:uid="{2A145CCB-0FFB-4BD7-A5D5-D52B70B48CBB}"/>
    <hyperlink ref="B55" r:id="rId54" xr:uid="{22E51C16-F826-4104-8F26-DAD1C0F2BFE3}"/>
    <hyperlink ref="B56" r:id="rId55" xr:uid="{A9AA40AA-1AED-4602-8D39-29D8BCC6638C}"/>
    <hyperlink ref="B57" r:id="rId56" xr:uid="{62B45B6F-6A2C-4EA8-9997-C619E37B6458}"/>
    <hyperlink ref="B58" r:id="rId57" xr:uid="{AD0148FE-6DEE-492D-8FDE-285FF33A3C2F}"/>
    <hyperlink ref="B59" r:id="rId58" xr:uid="{D4545D47-C38C-4994-AAAC-45727201A93D}"/>
    <hyperlink ref="B60" r:id="rId59" xr:uid="{A4AD85F0-2229-4795-84F9-184E91B399ED}"/>
    <hyperlink ref="B61" r:id="rId60" xr:uid="{B5871A8D-A2B6-4371-A4A8-17EFBC0801A3}"/>
    <hyperlink ref="B62" r:id="rId61" xr:uid="{12E543C9-AC8B-41B8-8166-86592FF7BC3D}"/>
    <hyperlink ref="B63" r:id="rId62" xr:uid="{8249D261-0BFE-48E4-B777-8A2114285F17}"/>
    <hyperlink ref="B64" r:id="rId63" xr:uid="{25C2DC67-D139-4608-B1CA-5D32DEEFD7D2}"/>
    <hyperlink ref="B65" r:id="rId64" xr:uid="{8E688064-D311-4F64-B6E8-3BBD90D1B4E1}"/>
    <hyperlink ref="B66" r:id="rId65" xr:uid="{05E6E141-7611-4C9A-AAA8-EC7B53B80EF4}"/>
    <hyperlink ref="B67" r:id="rId66" xr:uid="{6D58386F-2AC6-4930-9492-124B0FBB6D3B}"/>
    <hyperlink ref="B68" r:id="rId67" xr:uid="{9EC3B903-C809-4B25-9D88-DAEB30AD563C}"/>
    <hyperlink ref="B69" r:id="rId68" xr:uid="{3BAFC6B7-2860-4339-A3C5-EEACF4957B71}"/>
    <hyperlink ref="B70" r:id="rId69" xr:uid="{4E6B9ED4-8E6A-4329-B694-D9E498E0568A}"/>
    <hyperlink ref="B71" r:id="rId70" xr:uid="{6A41A2E1-DB7D-48B4-B492-85C22A5F05A6}"/>
    <hyperlink ref="B72" r:id="rId71" xr:uid="{D2B8606A-83BB-45CB-A2AB-A24D7C2824C6}"/>
    <hyperlink ref="B73" r:id="rId72" xr:uid="{7606BE42-89FA-43DD-B0D4-F6BE3D311FF1}"/>
    <hyperlink ref="B74" r:id="rId73" xr:uid="{C03BCE42-9449-480C-94DE-BBCB7CC577D5}"/>
    <hyperlink ref="B75" r:id="rId74" xr:uid="{35C09ECA-EEF0-41DD-BD9D-C0D642C8582C}"/>
    <hyperlink ref="B76" r:id="rId75" xr:uid="{86999A5F-2F7B-4F5A-8A7E-8FD11B15D7D8}"/>
    <hyperlink ref="B77" r:id="rId76" xr:uid="{FA87D09D-EE5A-424F-8798-D00EFE0B6E23}"/>
    <hyperlink ref="B78" r:id="rId77" xr:uid="{5CB39B3E-A409-4954-9DE3-EA7130A22378}"/>
    <hyperlink ref="B79" r:id="rId78" xr:uid="{5E2AA839-FA5C-450E-AE18-1A7B3AA93C72}"/>
    <hyperlink ref="B80" r:id="rId79" xr:uid="{B26D8DBB-E64A-4C82-A93C-2531B6E86465}"/>
    <hyperlink ref="B81" r:id="rId80" xr:uid="{FCB2B94C-B983-463B-B596-FED5F8C4C2AF}"/>
    <hyperlink ref="B82" r:id="rId81" xr:uid="{ECF162E7-F777-477B-8FF2-D40AB5AFFF09}"/>
    <hyperlink ref="B83" r:id="rId82" xr:uid="{0FEB9413-0AA9-4496-BF99-94691F21A624}"/>
    <hyperlink ref="B84" r:id="rId83" xr:uid="{D663F72D-6CCC-471E-9844-00C5E9EA27CA}"/>
    <hyperlink ref="B85" r:id="rId84" xr:uid="{C7A539A1-0537-48F2-A1F3-BE2A43494967}"/>
    <hyperlink ref="B86" r:id="rId85" xr:uid="{E5D2A048-D936-405C-9C24-2FB2C91E4E31}"/>
    <hyperlink ref="B87" r:id="rId86" xr:uid="{84C87928-C66F-4524-AE45-2C9C63338ADB}"/>
    <hyperlink ref="B88" r:id="rId87" xr:uid="{47949DCA-F0A2-4013-938C-E00B6C8F32E4}"/>
    <hyperlink ref="B89" r:id="rId88" xr:uid="{67FD8667-91E3-4ED6-9E85-E132B54ED646}"/>
    <hyperlink ref="B90" r:id="rId89" xr:uid="{CF706F78-39AA-4184-9B06-19572188C306}"/>
    <hyperlink ref="B91" r:id="rId90" xr:uid="{8E7EF08A-3CD5-4375-BBE4-2323D3EFB137}"/>
    <hyperlink ref="B92" r:id="rId91" xr:uid="{FA5328DC-1237-421D-80AC-FD0EA3A3BAF1}"/>
    <hyperlink ref="B93" r:id="rId92" xr:uid="{9AE93ADD-7714-4DA3-93FE-80CF4382C536}"/>
    <hyperlink ref="B94" r:id="rId93" xr:uid="{32041DB2-D4CB-4F19-9321-3F8C54B998F2}"/>
    <hyperlink ref="B95" r:id="rId94" xr:uid="{CC435D6A-AD42-4FE3-9CDC-EBE4ADDDCDAA}"/>
    <hyperlink ref="B96" r:id="rId95" xr:uid="{CCD5D1B4-CA56-49B7-95E2-8F88A6A89194}"/>
    <hyperlink ref="B97" r:id="rId96" xr:uid="{A0DE91E6-D35A-4CCE-B898-C509E2607B21}"/>
    <hyperlink ref="B98" r:id="rId97" xr:uid="{A35CC469-278E-4259-B410-195C99E26F31}"/>
    <hyperlink ref="B99" r:id="rId98" xr:uid="{38BEE40E-8E15-4689-9517-D45AD73C8186}"/>
    <hyperlink ref="B100" r:id="rId99" xr:uid="{4BEA2404-3985-423A-BCDD-59FA3E887334}"/>
    <hyperlink ref="B101" r:id="rId100" xr:uid="{6B6103CD-0078-4C50-910E-1A968FADDA0B}"/>
    <hyperlink ref="B102" r:id="rId101" xr:uid="{20A7C4D6-2150-4DF3-9583-13B0F27B8480}"/>
    <hyperlink ref="B103" r:id="rId102" xr:uid="{897600F5-494F-4F0A-BC59-4DF8D6EB8774}"/>
    <hyperlink ref="B104" r:id="rId103" xr:uid="{88BF4A10-B30A-40A0-9BCD-DBEBD26A0522}"/>
    <hyperlink ref="B105" r:id="rId104" xr:uid="{256ABA8E-299F-4EED-9A60-1E5C407D1862}"/>
    <hyperlink ref="B106" r:id="rId105" xr:uid="{3C2210A3-125D-4339-BE78-3F3E7A7882A9}"/>
    <hyperlink ref="B107" r:id="rId106" xr:uid="{6F04173C-A19D-4F4B-B229-CBE3E05D1845}"/>
    <hyperlink ref="B108" r:id="rId107" xr:uid="{E60D67CB-9F5B-475E-A298-C67FF4BA8058}"/>
    <hyperlink ref="B109" r:id="rId108" xr:uid="{EF5118C0-0E80-4661-B0BF-C2B82779D5F3}"/>
    <hyperlink ref="B110" r:id="rId109" xr:uid="{5F09549B-0E85-4B37-BB90-147F9A74E0A9}"/>
    <hyperlink ref="B111" r:id="rId110" xr:uid="{B53D761F-6D70-436E-B250-0BC6A4ADA05C}"/>
    <hyperlink ref="B112" r:id="rId111" xr:uid="{93D498E1-2C27-4D2D-92B6-2748C1042BC7}"/>
    <hyperlink ref="B113" r:id="rId112" xr:uid="{0C681658-9224-4D3F-A5E7-3D2BA31EC058}"/>
    <hyperlink ref="B114" r:id="rId113" xr:uid="{40847326-0C46-497B-A2A1-027C59E938A7}"/>
    <hyperlink ref="B115" r:id="rId114" xr:uid="{F1ACB899-8C91-4751-BEEE-1B28270CFDB2}"/>
    <hyperlink ref="B116" r:id="rId115" xr:uid="{010B26C8-76B1-4BB1-9ACA-821D3FA28BA0}"/>
    <hyperlink ref="B117" r:id="rId116" xr:uid="{29911287-2DE5-4863-8E27-380A00971AC7}"/>
    <hyperlink ref="B118" r:id="rId117" xr:uid="{9A800AC5-1BFD-40B9-AD7A-BDAD52D7A851}"/>
    <hyperlink ref="B119" r:id="rId118" xr:uid="{9F43EE96-200F-4606-9D53-80D000948C72}"/>
    <hyperlink ref="B120" r:id="rId119" xr:uid="{211570C4-B73E-4119-834F-F4F031A21612}"/>
    <hyperlink ref="B121" r:id="rId120" xr:uid="{ADC72C2A-EE14-4ED8-85DA-B7EC9B2CB564}"/>
    <hyperlink ref="B122" r:id="rId121" xr:uid="{8569536F-F69A-4C34-BB60-2000F36721C3}"/>
    <hyperlink ref="B123" r:id="rId122" xr:uid="{EADE03F1-93FC-4067-9BF2-187948CC2964}"/>
    <hyperlink ref="B124" r:id="rId123" xr:uid="{04D4CF50-7061-4D7B-A38A-37AB450E33CB}"/>
    <hyperlink ref="B125" r:id="rId124" xr:uid="{8C342F57-9E79-417C-A4C1-D0F5D0197E38}"/>
    <hyperlink ref="B126" r:id="rId125" xr:uid="{BD6A8AF2-D47E-4C0D-B19F-27C390F75DE7}"/>
    <hyperlink ref="B127" r:id="rId126" xr:uid="{782E2FC4-E522-4CE7-97B3-8891B0CEF21C}"/>
    <hyperlink ref="B128" r:id="rId127" xr:uid="{6AFD809C-C6B4-435F-87D6-C3588B038282}"/>
    <hyperlink ref="B129" r:id="rId128" xr:uid="{3062A46B-17F7-47F3-BBC8-0035C7C9E157}"/>
    <hyperlink ref="B130" r:id="rId129" xr:uid="{BA48BE06-F39E-4A8B-AFE0-7EE643EDA9B4}"/>
    <hyperlink ref="B131" r:id="rId130" xr:uid="{937D6DAB-DB16-41EB-81F5-0A0488DB08BB}"/>
    <hyperlink ref="B132" r:id="rId131" xr:uid="{A97E8B2A-2012-4C5B-AC0A-F6BA349B279A}"/>
    <hyperlink ref="B133" r:id="rId132" xr:uid="{E7601AD9-F5D3-4042-80A2-89A403F8C6DE}"/>
    <hyperlink ref="B134" r:id="rId133" xr:uid="{58AD4268-EFEC-4B88-95D4-43C0F3F93E89}"/>
    <hyperlink ref="B135" r:id="rId134" xr:uid="{3077601D-BCC8-477A-952B-86811FFF9E9E}"/>
    <hyperlink ref="B136" r:id="rId135" xr:uid="{47FBD164-6355-4C9D-BF9E-33C7A74949A8}"/>
    <hyperlink ref="B137" r:id="rId136" xr:uid="{9AB35FE9-7AA0-44D9-BA04-CB39F8F5633A}"/>
    <hyperlink ref="B138" r:id="rId137" xr:uid="{D15675AD-00CD-451F-98DE-A62D8CE8759F}"/>
    <hyperlink ref="B139" r:id="rId138" xr:uid="{5138C5CE-3AF9-4711-8DCC-BA7032A43082}"/>
    <hyperlink ref="B140" r:id="rId139" xr:uid="{E3F0E33F-8ECC-4EDE-A95F-87A71FBBFD58}"/>
    <hyperlink ref="B141" r:id="rId140" xr:uid="{726312BA-E898-482D-A435-C6FEA931BF3A}"/>
    <hyperlink ref="B142" r:id="rId141" xr:uid="{6597F544-F89C-441D-91AA-DFDC545901F6}"/>
    <hyperlink ref="B143" r:id="rId142" xr:uid="{CA0D5D51-D7D7-4917-907D-A143F8DBCFF6}"/>
    <hyperlink ref="B144" r:id="rId143" xr:uid="{5BD19637-B03B-404B-94A3-581991858424}"/>
    <hyperlink ref="B145" r:id="rId144" xr:uid="{D79CF695-26EA-4DE8-9B07-9B5F30950CDB}"/>
    <hyperlink ref="B146" r:id="rId145" xr:uid="{DFD5CA7B-158F-466E-BC01-16B2E05E9016}"/>
    <hyperlink ref="B147" r:id="rId146" xr:uid="{F48FB9A2-B5EC-4572-831D-81F933D345D0}"/>
    <hyperlink ref="B148" r:id="rId147" xr:uid="{7999A0E9-CF0D-49F9-B344-0ADF4642A2C9}"/>
    <hyperlink ref="B149" r:id="rId148" xr:uid="{4EAD9DCE-3CF8-45D8-BA91-668A65B9E1B2}"/>
    <hyperlink ref="B150" r:id="rId149" xr:uid="{70DC745E-E27C-4C27-9962-2B7AEF7D43F6}"/>
    <hyperlink ref="B151" r:id="rId150" xr:uid="{CF261C5D-F8D9-48D0-A6A5-FFD7BEAAB778}"/>
    <hyperlink ref="B152" r:id="rId151" xr:uid="{BDD61358-5CD2-46CF-BC69-30C91AE09994}"/>
    <hyperlink ref="B153" r:id="rId152" xr:uid="{C875BE34-3910-4610-AA61-8E924D622790}"/>
    <hyperlink ref="B154" r:id="rId153" xr:uid="{3360F8EB-B517-4BF1-9D71-51D1ABD4F8F6}"/>
    <hyperlink ref="B155" r:id="rId154" xr:uid="{2EB8EBB1-417F-44B2-9978-53C647A2EA3F}"/>
    <hyperlink ref="B156" r:id="rId155" xr:uid="{BAC9075D-BC79-4F5D-86B4-7C3CEE5C5D27}"/>
    <hyperlink ref="B157" r:id="rId156" xr:uid="{0F83E433-6D9C-4BF8-9B74-9F1BDD740C6E}"/>
    <hyperlink ref="B158" r:id="rId157" xr:uid="{048C4B51-6F0D-48EA-85A6-3C917256C6B8}"/>
    <hyperlink ref="B159" r:id="rId158" xr:uid="{5D76F204-B32A-4074-9250-6D3FF7A7A8C3}"/>
    <hyperlink ref="B160" r:id="rId159" xr:uid="{C828203A-3F8A-416F-AFA8-9E8118E41873}"/>
    <hyperlink ref="B161" r:id="rId160" xr:uid="{8CF72449-BFA4-4993-85AC-511116941732}"/>
    <hyperlink ref="B162" r:id="rId161" xr:uid="{CE34D514-5C44-4BAF-8C38-59621AE6240E}"/>
    <hyperlink ref="B163" r:id="rId162" xr:uid="{37F59532-37C8-4856-944C-F473E867479C}"/>
    <hyperlink ref="B164" r:id="rId163" xr:uid="{4648A24B-7E0E-493E-8A33-476334D18060}"/>
    <hyperlink ref="B165" r:id="rId164" xr:uid="{ABAD1E4A-F7AD-428A-B919-16588AB4D3B0}"/>
    <hyperlink ref="B166" r:id="rId165" xr:uid="{EF5BF3C3-01E6-4DEB-8EA7-E03C20DB2E50}"/>
    <hyperlink ref="B167" r:id="rId166" xr:uid="{21F2CF92-E26C-452A-8935-08BA55F0CCF6}"/>
    <hyperlink ref="B168" r:id="rId167" xr:uid="{373816CA-EE69-4D09-AB3A-C162975D76E0}"/>
    <hyperlink ref="B169" r:id="rId168" xr:uid="{0C8B8A4F-0539-47F4-8DED-C339BD991DB1}"/>
    <hyperlink ref="B170" r:id="rId169" xr:uid="{2B091B34-1286-416B-B2D6-63E6546D29EE}"/>
    <hyperlink ref="B171" r:id="rId170" xr:uid="{9BF8CFC2-53B3-4C75-AA29-DCE57713113F}"/>
    <hyperlink ref="B172" r:id="rId171" xr:uid="{8A242FBF-ABBD-48C2-9BB9-8DA9FA25972C}"/>
    <hyperlink ref="B173" r:id="rId172" xr:uid="{D2EA5EE9-9FD3-48CA-9A06-6C11EF108A41}"/>
    <hyperlink ref="B174" r:id="rId173" xr:uid="{4455DA8C-0B2D-42A2-8E26-D335C1EDD81B}"/>
    <hyperlink ref="B175" r:id="rId174" xr:uid="{214CE9EA-0F2A-43E0-80F2-B646581D68E2}"/>
    <hyperlink ref="B176" r:id="rId175" xr:uid="{B665145A-7236-4CC8-8640-6EF85E2B3F78}"/>
    <hyperlink ref="B177" r:id="rId176" xr:uid="{8C39AAC6-16F4-41E2-BEC0-BE83F68714FA}"/>
    <hyperlink ref="B178" r:id="rId177" xr:uid="{C4106A9F-9D1F-4671-9282-544987536005}"/>
    <hyperlink ref="B179" r:id="rId178" xr:uid="{E253DB95-4E48-43F3-848F-18499DF65E95}"/>
    <hyperlink ref="B180" r:id="rId179" xr:uid="{29B0EDB8-D0F5-41A5-80FB-F65CECADB690}"/>
    <hyperlink ref="B181" r:id="rId180" xr:uid="{EA096693-A128-47DE-A4FB-D1AF5C4DDF3F}"/>
    <hyperlink ref="B182" r:id="rId181" xr:uid="{2810486D-2635-4719-8FCF-F4E9D98F87C2}"/>
    <hyperlink ref="B183" r:id="rId182" xr:uid="{B5153F88-75DF-44EC-ABD6-675BF02D2EA6}"/>
    <hyperlink ref="B184" r:id="rId183" xr:uid="{DCD13D80-4664-4060-A738-6416370FA973}"/>
    <hyperlink ref="B185" r:id="rId184" xr:uid="{BE6307E6-A1D0-49AE-9A33-8CF6CCB5F893}"/>
    <hyperlink ref="B186" r:id="rId185" xr:uid="{C958E0BF-DBDA-4641-929B-FC93390DAC24}"/>
    <hyperlink ref="B187" r:id="rId186" xr:uid="{6647820E-7E0E-4406-B2BC-71076D670DE5}"/>
    <hyperlink ref="B188" r:id="rId187" xr:uid="{A28A2F92-459B-4BEA-80BD-C8B8411CF21C}"/>
    <hyperlink ref="B189" r:id="rId188" xr:uid="{AAFAC69E-A059-4EEF-ABDC-F9BB0AB07863}"/>
    <hyperlink ref="B190" r:id="rId189" xr:uid="{AAF0146E-E880-49E2-AAF6-00EE676091C9}"/>
    <hyperlink ref="B191" r:id="rId190" xr:uid="{539A583A-D254-4AC6-BE3E-2C8E5DB27D77}"/>
    <hyperlink ref="B192" r:id="rId191" xr:uid="{BBB96AA1-7617-40FF-AFD3-EBE8F339F8D2}"/>
    <hyperlink ref="B193" r:id="rId192" xr:uid="{C06D71D3-FC7D-4B0F-8664-B67F771CC7D8}"/>
    <hyperlink ref="B194" r:id="rId193" xr:uid="{D25DD642-F13E-4CDD-895A-26926A566ED7}"/>
    <hyperlink ref="B195" r:id="rId194" xr:uid="{1FA4C53C-E826-467B-BBF6-3EDB7B214B42}"/>
    <hyperlink ref="B196" r:id="rId195" xr:uid="{C2F7C46E-91CF-47F5-942A-7798CCAD6DF9}"/>
    <hyperlink ref="B197" r:id="rId196" xr:uid="{E63133A1-1FBF-4A6D-BF4D-1094476935CB}"/>
    <hyperlink ref="B198" r:id="rId197" xr:uid="{9033EA0F-67B8-48B3-90CC-F79C1C3861B4}"/>
    <hyperlink ref="B199" r:id="rId198" xr:uid="{416CCA19-9692-4795-87E5-453D5E0F3A87}"/>
    <hyperlink ref="B200" r:id="rId199" xr:uid="{BAC08063-9364-4817-A64D-0BA4F1EAAD17}"/>
    <hyperlink ref="B201" r:id="rId200" xr:uid="{7D0F4091-3BBB-48AA-8AD8-C09129EDA060}"/>
    <hyperlink ref="B202" r:id="rId201" xr:uid="{406FDC7D-BFCF-4B2D-9464-2ECCF4FE11DB}"/>
    <hyperlink ref="B203" r:id="rId202" xr:uid="{3A218622-CABC-45E9-91BD-B8BF881560EF}"/>
    <hyperlink ref="B204" r:id="rId203" xr:uid="{A551F0C4-C791-4464-89A2-54A9274B7C60}"/>
    <hyperlink ref="B205" r:id="rId204" xr:uid="{DD90FDE2-DD98-4120-BF6D-49C923FF4453}"/>
    <hyperlink ref="B206" r:id="rId205" xr:uid="{94A280CD-1796-4FD1-BC46-87E86EF1B0CD}"/>
    <hyperlink ref="B207" r:id="rId206" xr:uid="{A267C959-0A90-4CDF-A2BD-BAB02C9622E0}"/>
    <hyperlink ref="B208" r:id="rId207" xr:uid="{8AFA5E09-DA10-4516-BE98-73EF961ACE1B}"/>
    <hyperlink ref="B209" r:id="rId208" xr:uid="{B1446EBC-31CE-4D85-B810-15A36F4B3D9D}"/>
    <hyperlink ref="B210" r:id="rId209" xr:uid="{721F01B7-58A8-4ED3-8966-708567AFC6DD}"/>
    <hyperlink ref="B211" r:id="rId210" xr:uid="{339A96E0-69BB-4808-BF24-3725348D5AB9}"/>
    <hyperlink ref="B212" r:id="rId211" xr:uid="{C9BBA915-651A-48FE-BE5D-AD81E0BDC547}"/>
    <hyperlink ref="B213" r:id="rId212" xr:uid="{892B98CD-92EA-4BCD-9D64-2E57E3527853}"/>
    <hyperlink ref="B214" r:id="rId213" xr:uid="{9AD134C2-E54C-407C-926D-B4C9A697A9E5}"/>
    <hyperlink ref="B215" r:id="rId214" xr:uid="{A885C836-BAD9-4D67-8112-216A87DFDBB6}"/>
  </hyperlinks>
  <pageMargins left="0.7" right="0.7" top="0.75" bottom="0.75" header="0.3" footer="0.3"/>
  <drawing r:id="rId215"/>
  <tableParts count="1">
    <tablePart r:id="rId216"/>
  </tableParts>
  <extLst>
    <ext xmlns:x14="http://schemas.microsoft.com/office/spreadsheetml/2009/9/main" uri="{05C60535-1F16-4fd2-B633-F4F36F0B64E0}">
      <x14:sparklineGroups xmlns:xm="http://schemas.microsoft.com/office/excel/2006/main">
        <x14:sparklineGroup xr2:uid="{C7EFC333-037C-4CEE-A617-BB78F39D00A6}">
          <x14:colorSeries rgb="FF2A6099"/>
          <x14:colorNegative rgb="FFFF0000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sqref>A1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52CC-B044-4FA0-ADD7-4C230EAAA6A7}">
  <dimension ref="A3:K217"/>
  <sheetViews>
    <sheetView zoomScale="85" zoomScaleNormal="85" workbookViewId="0">
      <selection activeCell="I19" sqref="I19"/>
    </sheetView>
  </sheetViews>
  <sheetFormatPr defaultRowHeight="14" customHeight="1" x14ac:dyDescent="0.35"/>
  <cols>
    <col min="1" max="1" width="6.81640625" customWidth="1"/>
    <col min="2" max="2" width="10.54296875" style="34" customWidth="1"/>
    <col min="3" max="3" width="14.54296875" style="1" customWidth="1"/>
    <col min="4" max="4" width="15" customWidth="1"/>
    <col min="5" max="5" width="10.453125" customWidth="1"/>
    <col min="6" max="6" width="12.453125" customWidth="1"/>
    <col min="9" max="9" width="10.54296875" customWidth="1"/>
  </cols>
  <sheetData>
    <row r="3" spans="1:11" ht="14" customHeight="1" x14ac:dyDescent="0.4">
      <c r="A3" s="16"/>
      <c r="B3" s="1"/>
      <c r="K3" s="39"/>
    </row>
    <row r="4" spans="1:11" ht="14" customHeight="1" x14ac:dyDescent="0.35">
      <c r="B4" s="1"/>
    </row>
    <row r="5" spans="1:11" ht="14" customHeight="1" x14ac:dyDescent="0.35">
      <c r="A5" t="s">
        <v>12</v>
      </c>
      <c r="B5" s="1" t="s">
        <v>255</v>
      </c>
      <c r="C5" s="1" t="s">
        <v>276</v>
      </c>
    </row>
    <row r="6" spans="1:11" ht="14" customHeight="1" x14ac:dyDescent="0.35">
      <c r="A6" s="35" t="s">
        <v>256</v>
      </c>
      <c r="B6" s="36">
        <v>19</v>
      </c>
      <c r="C6" s="82"/>
    </row>
    <row r="7" spans="1:11" ht="14" customHeight="1" x14ac:dyDescent="0.35">
      <c r="A7" s="35" t="s">
        <v>257</v>
      </c>
      <c r="B7" s="36">
        <v>4</v>
      </c>
      <c r="C7" s="82"/>
    </row>
    <row r="8" spans="1:11" ht="14" customHeight="1" x14ac:dyDescent="0.35">
      <c r="A8" s="35" t="s">
        <v>258</v>
      </c>
      <c r="B8" s="36">
        <v>3</v>
      </c>
      <c r="C8" s="82"/>
    </row>
    <row r="9" spans="1:11" ht="14" customHeight="1" x14ac:dyDescent="0.35">
      <c r="A9" s="35" t="s">
        <v>259</v>
      </c>
      <c r="B9" s="36">
        <v>13</v>
      </c>
      <c r="C9" s="82"/>
    </row>
    <row r="10" spans="1:11" ht="14" customHeight="1" x14ac:dyDescent="0.35">
      <c r="A10" s="35" t="s">
        <v>260</v>
      </c>
      <c r="B10" s="36">
        <v>1</v>
      </c>
      <c r="C10" s="82"/>
    </row>
    <row r="11" spans="1:11" ht="14" customHeight="1" x14ac:dyDescent="0.35">
      <c r="A11" s="35" t="s">
        <v>261</v>
      </c>
      <c r="B11" s="36">
        <v>17</v>
      </c>
      <c r="C11" s="82"/>
    </row>
    <row r="12" spans="1:11" ht="14" customHeight="1" x14ac:dyDescent="0.35">
      <c r="A12" s="35" t="s">
        <v>262</v>
      </c>
      <c r="B12" s="36">
        <v>7</v>
      </c>
      <c r="C12" s="82"/>
    </row>
    <row r="13" spans="1:11" ht="14" customHeight="1" x14ac:dyDescent="0.35">
      <c r="A13" s="35" t="s">
        <v>263</v>
      </c>
      <c r="B13" s="36">
        <v>11</v>
      </c>
      <c r="C13" s="82"/>
    </row>
    <row r="14" spans="1:11" ht="14" customHeight="1" x14ac:dyDescent="0.35">
      <c r="A14" s="35" t="s">
        <v>264</v>
      </c>
      <c r="B14" s="36">
        <v>11</v>
      </c>
      <c r="C14" s="82"/>
    </row>
    <row r="15" spans="1:11" ht="14" customHeight="1" x14ac:dyDescent="0.35">
      <c r="A15" s="35" t="s">
        <v>265</v>
      </c>
      <c r="B15" s="36">
        <v>15</v>
      </c>
      <c r="C15" s="82"/>
    </row>
    <row r="16" spans="1:11" ht="14" customHeight="1" x14ac:dyDescent="0.35">
      <c r="A16" s="35" t="s">
        <v>266</v>
      </c>
      <c r="B16" s="36">
        <v>5</v>
      </c>
      <c r="C16" s="82"/>
    </row>
    <row r="17" spans="1:3" ht="14" customHeight="1" x14ac:dyDescent="0.35">
      <c r="A17" s="35" t="s">
        <v>267</v>
      </c>
      <c r="B17" s="36">
        <v>15</v>
      </c>
      <c r="C17" s="82"/>
    </row>
    <row r="18" spans="1:3" ht="14" customHeight="1" x14ac:dyDescent="0.35">
      <c r="A18" s="35" t="s">
        <v>268</v>
      </c>
      <c r="B18" s="36">
        <v>14</v>
      </c>
      <c r="C18" s="82"/>
    </row>
    <row r="19" spans="1:3" ht="14" customHeight="1" x14ac:dyDescent="0.35">
      <c r="A19" s="35" t="s">
        <v>269</v>
      </c>
      <c r="B19" s="36">
        <v>8</v>
      </c>
      <c r="C19" s="82"/>
    </row>
    <row r="20" spans="1:3" ht="14" customHeight="1" x14ac:dyDescent="0.35">
      <c r="A20" s="35" t="s">
        <v>270</v>
      </c>
      <c r="B20" s="36">
        <v>2</v>
      </c>
      <c r="C20" s="82"/>
    </row>
    <row r="21" spans="1:3" ht="14" customHeight="1" x14ac:dyDescent="0.35">
      <c r="A21" s="35" t="s">
        <v>271</v>
      </c>
      <c r="B21" s="36">
        <v>14</v>
      </c>
      <c r="C21" s="82"/>
    </row>
    <row r="22" spans="1:3" ht="14" customHeight="1" x14ac:dyDescent="0.35">
      <c r="A22" s="35" t="s">
        <v>272</v>
      </c>
      <c r="B22" s="36">
        <v>4</v>
      </c>
      <c r="C22" s="82"/>
    </row>
    <row r="23" spans="1:3" ht="14" customHeight="1" x14ac:dyDescent="0.35">
      <c r="A23" s="35" t="s">
        <v>273</v>
      </c>
      <c r="B23" s="36">
        <v>6</v>
      </c>
      <c r="C23" s="82"/>
    </row>
    <row r="24" spans="1:3" ht="14" customHeight="1" x14ac:dyDescent="0.35">
      <c r="A24" s="35" t="s">
        <v>274</v>
      </c>
      <c r="B24" s="36">
        <v>16</v>
      </c>
      <c r="C24" s="82"/>
    </row>
    <row r="25" spans="1:3" ht="14" customHeight="1" x14ac:dyDescent="0.35">
      <c r="A25" s="35" t="s">
        <v>275</v>
      </c>
      <c r="B25" s="36">
        <v>2</v>
      </c>
      <c r="C25" s="82"/>
    </row>
    <row r="26" spans="1:3" ht="14" customHeight="1" x14ac:dyDescent="0.35">
      <c r="B26" s="1"/>
    </row>
    <row r="27" spans="1:3" ht="14" customHeight="1" x14ac:dyDescent="0.35">
      <c r="B27" s="1"/>
    </row>
    <row r="28" spans="1:3" ht="14" customHeight="1" x14ac:dyDescent="0.35">
      <c r="B28" s="1"/>
    </row>
    <row r="29" spans="1:3" ht="14" customHeight="1" x14ac:dyDescent="0.35">
      <c r="B29" s="1"/>
    </row>
    <row r="30" spans="1:3" ht="14" customHeight="1" x14ac:dyDescent="0.35">
      <c r="B30" s="1"/>
    </row>
    <row r="31" spans="1:3" ht="14" customHeight="1" x14ac:dyDescent="0.35">
      <c r="B31" s="1"/>
    </row>
    <row r="32" spans="1:3" ht="14" customHeight="1" x14ac:dyDescent="0.35">
      <c r="B32" s="1"/>
    </row>
    <row r="33" spans="2:5" ht="14" customHeight="1" x14ac:dyDescent="0.35">
      <c r="B33" s="59" t="s">
        <v>398</v>
      </c>
      <c r="C33" s="59" t="s">
        <v>399</v>
      </c>
    </row>
    <row r="34" spans="2:5" ht="14" customHeight="1" x14ac:dyDescent="0.35">
      <c r="B34" s="59">
        <v>0</v>
      </c>
      <c r="C34" s="59" t="s">
        <v>394</v>
      </c>
    </row>
    <row r="35" spans="2:5" ht="14" customHeight="1" x14ac:dyDescent="0.35">
      <c r="B35" s="59">
        <v>4</v>
      </c>
      <c r="C35" s="59" t="s">
        <v>395</v>
      </c>
    </row>
    <row r="36" spans="2:5" ht="14" customHeight="1" x14ac:dyDescent="0.35">
      <c r="B36" s="59">
        <v>10</v>
      </c>
      <c r="C36" s="59" t="s">
        <v>396</v>
      </c>
    </row>
    <row r="37" spans="2:5" ht="14" customHeight="1" x14ac:dyDescent="0.35">
      <c r="B37" s="59">
        <v>17</v>
      </c>
      <c r="C37" s="59" t="s">
        <v>397</v>
      </c>
    </row>
    <row r="38" spans="2:5" ht="14" customHeight="1" x14ac:dyDescent="0.35">
      <c r="B38" s="1"/>
    </row>
    <row r="39" spans="2:5" ht="14" customHeight="1" x14ac:dyDescent="0.35">
      <c r="B39" s="37" t="s">
        <v>12</v>
      </c>
      <c r="C39" s="85" t="s">
        <v>255</v>
      </c>
      <c r="D39" s="85" t="s">
        <v>399</v>
      </c>
    </row>
    <row r="40" spans="2:5" ht="14" customHeight="1" x14ac:dyDescent="0.35">
      <c r="B40" s="35" t="s">
        <v>256</v>
      </c>
      <c r="C40" s="36">
        <v>19</v>
      </c>
      <c r="D40" s="36" t="str">
        <f>VLOOKUP(C40,$B$34:$C$37,2)</f>
        <v>kiitettävä</v>
      </c>
      <c r="E40" t="s">
        <v>400</v>
      </c>
    </row>
    <row r="41" spans="2:5" ht="14" customHeight="1" x14ac:dyDescent="0.35">
      <c r="B41" s="35" t="s">
        <v>257</v>
      </c>
      <c r="C41" s="36">
        <v>4</v>
      </c>
      <c r="D41" s="36" t="str">
        <f t="shared" ref="D41:D59" si="0">VLOOKUP(C41,$B$34:$C$37,2)</f>
        <v>tyydyttävä</v>
      </c>
      <c r="E41" t="s">
        <v>401</v>
      </c>
    </row>
    <row r="42" spans="2:5" ht="14" customHeight="1" x14ac:dyDescent="0.35">
      <c r="B42" s="35" t="s">
        <v>258</v>
      </c>
      <c r="C42" s="36">
        <v>3</v>
      </c>
      <c r="D42" s="36" t="str">
        <f t="shared" si="0"/>
        <v>hylätty</v>
      </c>
    </row>
    <row r="43" spans="2:5" ht="14" customHeight="1" x14ac:dyDescent="0.35">
      <c r="B43" s="35" t="s">
        <v>259</v>
      </c>
      <c r="C43" s="36">
        <v>13</v>
      </c>
      <c r="D43" s="36" t="str">
        <f t="shared" si="0"/>
        <v>hyvä</v>
      </c>
    </row>
    <row r="44" spans="2:5" ht="14" customHeight="1" x14ac:dyDescent="0.35">
      <c r="B44" s="35" t="s">
        <v>260</v>
      </c>
      <c r="C44" s="36">
        <v>1</v>
      </c>
      <c r="D44" s="36" t="str">
        <f t="shared" si="0"/>
        <v>hylätty</v>
      </c>
    </row>
    <row r="45" spans="2:5" ht="14" customHeight="1" x14ac:dyDescent="0.35">
      <c r="B45" s="35" t="s">
        <v>261</v>
      </c>
      <c r="C45" s="36">
        <v>17</v>
      </c>
      <c r="D45" s="36" t="str">
        <f t="shared" si="0"/>
        <v>kiitettävä</v>
      </c>
    </row>
    <row r="46" spans="2:5" ht="14" customHeight="1" x14ac:dyDescent="0.35">
      <c r="B46" s="35" t="s">
        <v>262</v>
      </c>
      <c r="C46" s="36">
        <v>7</v>
      </c>
      <c r="D46" s="36" t="str">
        <f t="shared" si="0"/>
        <v>tyydyttävä</v>
      </c>
    </row>
    <row r="47" spans="2:5" ht="14" customHeight="1" x14ac:dyDescent="0.35">
      <c r="B47" s="35" t="s">
        <v>263</v>
      </c>
      <c r="C47" s="36">
        <v>11</v>
      </c>
      <c r="D47" s="36" t="str">
        <f t="shared" si="0"/>
        <v>hyvä</v>
      </c>
    </row>
    <row r="48" spans="2:5" ht="14" customHeight="1" x14ac:dyDescent="0.35">
      <c r="B48" s="35" t="s">
        <v>264</v>
      </c>
      <c r="C48" s="36">
        <v>11</v>
      </c>
      <c r="D48" s="36" t="str">
        <f t="shared" si="0"/>
        <v>hyvä</v>
      </c>
    </row>
    <row r="49" spans="2:4" ht="14" customHeight="1" x14ac:dyDescent="0.35">
      <c r="B49" s="35" t="s">
        <v>265</v>
      </c>
      <c r="C49" s="36">
        <v>15</v>
      </c>
      <c r="D49" s="36" t="str">
        <f t="shared" si="0"/>
        <v>hyvä</v>
      </c>
    </row>
    <row r="50" spans="2:4" ht="14" customHeight="1" x14ac:dyDescent="0.35">
      <c r="B50" s="35" t="s">
        <v>266</v>
      </c>
      <c r="C50" s="36">
        <v>5</v>
      </c>
      <c r="D50" s="36" t="str">
        <f t="shared" si="0"/>
        <v>tyydyttävä</v>
      </c>
    </row>
    <row r="51" spans="2:4" ht="14" customHeight="1" x14ac:dyDescent="0.35">
      <c r="B51" s="35" t="s">
        <v>267</v>
      </c>
      <c r="C51" s="36">
        <v>15</v>
      </c>
      <c r="D51" s="36" t="str">
        <f t="shared" si="0"/>
        <v>hyvä</v>
      </c>
    </row>
    <row r="52" spans="2:4" ht="14" customHeight="1" x14ac:dyDescent="0.35">
      <c r="B52" s="35" t="s">
        <v>268</v>
      </c>
      <c r="C52" s="36">
        <v>14</v>
      </c>
      <c r="D52" s="36" t="str">
        <f t="shared" si="0"/>
        <v>hyvä</v>
      </c>
    </row>
    <row r="53" spans="2:4" ht="14" customHeight="1" x14ac:dyDescent="0.35">
      <c r="B53" s="35" t="s">
        <v>269</v>
      </c>
      <c r="C53" s="36">
        <v>8</v>
      </c>
      <c r="D53" s="36" t="str">
        <f t="shared" si="0"/>
        <v>tyydyttävä</v>
      </c>
    </row>
    <row r="54" spans="2:4" ht="14" customHeight="1" x14ac:dyDescent="0.35">
      <c r="B54" s="35" t="s">
        <v>270</v>
      </c>
      <c r="C54" s="36">
        <v>2</v>
      </c>
      <c r="D54" s="36" t="str">
        <f t="shared" si="0"/>
        <v>hylätty</v>
      </c>
    </row>
    <row r="55" spans="2:4" ht="14" customHeight="1" x14ac:dyDescent="0.35">
      <c r="B55" s="35" t="s">
        <v>271</v>
      </c>
      <c r="C55" s="36">
        <v>14</v>
      </c>
      <c r="D55" s="36" t="str">
        <f t="shared" si="0"/>
        <v>hyvä</v>
      </c>
    </row>
    <row r="56" spans="2:4" ht="14" customHeight="1" x14ac:dyDescent="0.35">
      <c r="B56" s="35" t="s">
        <v>272</v>
      </c>
      <c r="C56" s="36">
        <v>4</v>
      </c>
      <c r="D56" s="36" t="str">
        <f t="shared" si="0"/>
        <v>tyydyttävä</v>
      </c>
    </row>
    <row r="57" spans="2:4" ht="14" customHeight="1" x14ac:dyDescent="0.35">
      <c r="B57" s="35" t="s">
        <v>273</v>
      </c>
      <c r="C57" s="36">
        <v>6</v>
      </c>
      <c r="D57" s="36" t="str">
        <f t="shared" si="0"/>
        <v>tyydyttävä</v>
      </c>
    </row>
    <row r="58" spans="2:4" ht="14" customHeight="1" x14ac:dyDescent="0.35">
      <c r="B58" s="35" t="s">
        <v>274</v>
      </c>
      <c r="C58" s="36">
        <v>16</v>
      </c>
      <c r="D58" s="36" t="str">
        <f t="shared" si="0"/>
        <v>hyvä</v>
      </c>
    </row>
    <row r="59" spans="2:4" ht="14" customHeight="1" x14ac:dyDescent="0.35">
      <c r="B59" s="35" t="s">
        <v>275</v>
      </c>
      <c r="C59" s="36">
        <v>2</v>
      </c>
      <c r="D59" s="36" t="str">
        <f t="shared" si="0"/>
        <v>hylätty</v>
      </c>
    </row>
    <row r="60" spans="2:4" ht="14" customHeight="1" x14ac:dyDescent="0.35">
      <c r="B60" s="1"/>
    </row>
    <row r="61" spans="2:4" ht="14" customHeight="1" x14ac:dyDescent="0.35">
      <c r="B61" s="1"/>
    </row>
    <row r="62" spans="2:4" ht="14" customHeight="1" x14ac:dyDescent="0.35">
      <c r="B62" s="1"/>
    </row>
    <row r="63" spans="2:4" ht="14" customHeight="1" x14ac:dyDescent="0.35">
      <c r="B63" s="1"/>
    </row>
    <row r="64" spans="2:4" ht="14" customHeight="1" x14ac:dyDescent="0.35">
      <c r="B64" s="1"/>
    </row>
    <row r="65" spans="2:2" ht="14" customHeight="1" x14ac:dyDescent="0.35">
      <c r="B65" s="1"/>
    </row>
    <row r="66" spans="2:2" ht="14" customHeight="1" x14ac:dyDescent="0.35">
      <c r="B66" s="1"/>
    </row>
    <row r="67" spans="2:2" ht="14" customHeight="1" x14ac:dyDescent="0.35">
      <c r="B67" s="1"/>
    </row>
    <row r="68" spans="2:2" ht="14" customHeight="1" x14ac:dyDescent="0.35">
      <c r="B68" s="1"/>
    </row>
    <row r="69" spans="2:2" ht="14" customHeight="1" x14ac:dyDescent="0.35">
      <c r="B69" s="1"/>
    </row>
    <row r="70" spans="2:2" ht="14" customHeight="1" x14ac:dyDescent="0.35">
      <c r="B70" s="1"/>
    </row>
    <row r="71" spans="2:2" ht="14" customHeight="1" x14ac:dyDescent="0.35">
      <c r="B71" s="1"/>
    </row>
    <row r="72" spans="2:2" ht="14" customHeight="1" x14ac:dyDescent="0.35">
      <c r="B72" s="1"/>
    </row>
    <row r="73" spans="2:2" ht="14" customHeight="1" x14ac:dyDescent="0.35">
      <c r="B73" s="1"/>
    </row>
    <row r="74" spans="2:2" ht="14" customHeight="1" x14ac:dyDescent="0.35">
      <c r="B74" s="1"/>
    </row>
    <row r="75" spans="2:2" ht="14" customHeight="1" x14ac:dyDescent="0.35">
      <c r="B75" s="1"/>
    </row>
    <row r="76" spans="2:2" ht="14" customHeight="1" x14ac:dyDescent="0.35">
      <c r="B76" s="1"/>
    </row>
    <row r="77" spans="2:2" ht="14" customHeight="1" x14ac:dyDescent="0.35">
      <c r="B77" s="1"/>
    </row>
    <row r="78" spans="2:2" ht="14" customHeight="1" x14ac:dyDescent="0.35">
      <c r="B78" s="1"/>
    </row>
    <row r="79" spans="2:2" ht="14" customHeight="1" x14ac:dyDescent="0.35">
      <c r="B79" s="1"/>
    </row>
    <row r="80" spans="2:2" ht="14" customHeight="1" x14ac:dyDescent="0.35">
      <c r="B80" s="1"/>
    </row>
    <row r="81" spans="2:2" ht="14" customHeight="1" x14ac:dyDescent="0.35">
      <c r="B81" s="1"/>
    </row>
    <row r="82" spans="2:2" ht="14" customHeight="1" x14ac:dyDescent="0.35">
      <c r="B82" s="1"/>
    </row>
    <row r="83" spans="2:2" ht="14" customHeight="1" x14ac:dyDescent="0.35">
      <c r="B83" s="1"/>
    </row>
    <row r="84" spans="2:2" ht="14" customHeight="1" x14ac:dyDescent="0.35">
      <c r="B84" s="1"/>
    </row>
    <row r="85" spans="2:2" ht="14" customHeight="1" x14ac:dyDescent="0.35">
      <c r="B85" s="1"/>
    </row>
    <row r="86" spans="2:2" ht="14" customHeight="1" x14ac:dyDescent="0.35">
      <c r="B86" s="1"/>
    </row>
    <row r="87" spans="2:2" ht="14" customHeight="1" x14ac:dyDescent="0.35">
      <c r="B87" s="1"/>
    </row>
    <row r="88" spans="2:2" ht="14" customHeight="1" x14ac:dyDescent="0.35">
      <c r="B88" s="1"/>
    </row>
    <row r="89" spans="2:2" ht="14" customHeight="1" x14ac:dyDescent="0.35">
      <c r="B89" s="1"/>
    </row>
    <row r="90" spans="2:2" ht="14" customHeight="1" x14ac:dyDescent="0.35">
      <c r="B90" s="1"/>
    </row>
    <row r="91" spans="2:2" ht="14" customHeight="1" x14ac:dyDescent="0.35">
      <c r="B91" s="1"/>
    </row>
    <row r="92" spans="2:2" ht="14" customHeight="1" x14ac:dyDescent="0.35">
      <c r="B92" s="1"/>
    </row>
    <row r="93" spans="2:2" ht="14" customHeight="1" x14ac:dyDescent="0.35">
      <c r="B93" s="1"/>
    </row>
    <row r="94" spans="2:2" ht="14" customHeight="1" x14ac:dyDescent="0.35">
      <c r="B94" s="1"/>
    </row>
    <row r="95" spans="2:2" ht="14" customHeight="1" x14ac:dyDescent="0.35">
      <c r="B95" s="1"/>
    </row>
    <row r="96" spans="2:2" ht="14" customHeight="1" x14ac:dyDescent="0.35">
      <c r="B96" s="1"/>
    </row>
    <row r="97" spans="2:2" ht="14" customHeight="1" x14ac:dyDescent="0.35">
      <c r="B97" s="1"/>
    </row>
    <row r="98" spans="2:2" ht="14" customHeight="1" x14ac:dyDescent="0.35">
      <c r="B98" s="1"/>
    </row>
    <row r="99" spans="2:2" ht="14" customHeight="1" x14ac:dyDescent="0.35">
      <c r="B99" s="1"/>
    </row>
    <row r="100" spans="2:2" ht="14" customHeight="1" x14ac:dyDescent="0.35">
      <c r="B100" s="1"/>
    </row>
    <row r="101" spans="2:2" ht="14" customHeight="1" x14ac:dyDescent="0.35">
      <c r="B101" s="1"/>
    </row>
    <row r="102" spans="2:2" ht="14" customHeight="1" x14ac:dyDescent="0.35">
      <c r="B102" s="1"/>
    </row>
    <row r="103" spans="2:2" ht="14" customHeight="1" x14ac:dyDescent="0.35">
      <c r="B103" s="1"/>
    </row>
    <row r="104" spans="2:2" ht="14" customHeight="1" x14ac:dyDescent="0.35">
      <c r="B104" s="1"/>
    </row>
    <row r="105" spans="2:2" ht="14" customHeight="1" x14ac:dyDescent="0.35">
      <c r="B105" s="1"/>
    </row>
    <row r="106" spans="2:2" ht="14" customHeight="1" x14ac:dyDescent="0.35">
      <c r="B106" s="1"/>
    </row>
    <row r="107" spans="2:2" ht="14" customHeight="1" x14ac:dyDescent="0.35">
      <c r="B107" s="1"/>
    </row>
    <row r="108" spans="2:2" ht="14" customHeight="1" x14ac:dyDescent="0.35">
      <c r="B108" s="1"/>
    </row>
    <row r="109" spans="2:2" ht="14" customHeight="1" x14ac:dyDescent="0.35">
      <c r="B109" s="1"/>
    </row>
    <row r="110" spans="2:2" ht="14" customHeight="1" x14ac:dyDescent="0.35">
      <c r="B110" s="1"/>
    </row>
    <row r="111" spans="2:2" ht="14" customHeight="1" x14ac:dyDescent="0.35">
      <c r="B111" s="1"/>
    </row>
    <row r="112" spans="2:2" ht="14" customHeight="1" x14ac:dyDescent="0.35">
      <c r="B112" s="1"/>
    </row>
    <row r="113" spans="2:2" ht="14" customHeight="1" x14ac:dyDescent="0.35">
      <c r="B113" s="1"/>
    </row>
    <row r="114" spans="2:2" ht="14" customHeight="1" x14ac:dyDescent="0.35">
      <c r="B114" s="1"/>
    </row>
    <row r="115" spans="2:2" ht="14" customHeight="1" x14ac:dyDescent="0.35">
      <c r="B115" s="1"/>
    </row>
    <row r="116" spans="2:2" ht="14" customHeight="1" x14ac:dyDescent="0.35">
      <c r="B116" s="1"/>
    </row>
    <row r="117" spans="2:2" ht="14" customHeight="1" x14ac:dyDescent="0.35">
      <c r="B117" s="1"/>
    </row>
    <row r="118" spans="2:2" ht="14" customHeight="1" x14ac:dyDescent="0.35">
      <c r="B118" s="1"/>
    </row>
    <row r="119" spans="2:2" ht="14" customHeight="1" x14ac:dyDescent="0.35">
      <c r="B119" s="1"/>
    </row>
    <row r="120" spans="2:2" ht="14" customHeight="1" x14ac:dyDescent="0.35">
      <c r="B120" s="1"/>
    </row>
    <row r="121" spans="2:2" ht="14" customHeight="1" x14ac:dyDescent="0.35">
      <c r="B121" s="1"/>
    </row>
    <row r="122" spans="2:2" ht="14" customHeight="1" x14ac:dyDescent="0.35">
      <c r="B122" s="1"/>
    </row>
    <row r="123" spans="2:2" ht="14" customHeight="1" x14ac:dyDescent="0.35">
      <c r="B123" s="1"/>
    </row>
    <row r="124" spans="2:2" ht="14" customHeight="1" x14ac:dyDescent="0.35">
      <c r="B124" s="1"/>
    </row>
    <row r="125" spans="2:2" ht="14" customHeight="1" x14ac:dyDescent="0.35">
      <c r="B125" s="1"/>
    </row>
    <row r="126" spans="2:2" ht="14" customHeight="1" x14ac:dyDescent="0.35">
      <c r="B126" s="1"/>
    </row>
    <row r="127" spans="2:2" ht="14" customHeight="1" x14ac:dyDescent="0.35">
      <c r="B127" s="1"/>
    </row>
    <row r="128" spans="2:2" ht="14" customHeight="1" x14ac:dyDescent="0.35">
      <c r="B128" s="1"/>
    </row>
    <row r="129" spans="2:2" ht="14" customHeight="1" x14ac:dyDescent="0.35">
      <c r="B129" s="1"/>
    </row>
    <row r="130" spans="2:2" ht="14" customHeight="1" x14ac:dyDescent="0.35">
      <c r="B130" s="1"/>
    </row>
    <row r="131" spans="2:2" ht="14" customHeight="1" x14ac:dyDescent="0.35">
      <c r="B131" s="1"/>
    </row>
    <row r="132" spans="2:2" ht="14" customHeight="1" x14ac:dyDescent="0.35">
      <c r="B132" s="1"/>
    </row>
    <row r="133" spans="2:2" ht="14" customHeight="1" x14ac:dyDescent="0.35">
      <c r="B133" s="1"/>
    </row>
    <row r="134" spans="2:2" ht="14" customHeight="1" x14ac:dyDescent="0.35">
      <c r="B134" s="1"/>
    </row>
    <row r="135" spans="2:2" ht="14" customHeight="1" x14ac:dyDescent="0.35">
      <c r="B135" s="1"/>
    </row>
    <row r="136" spans="2:2" ht="14" customHeight="1" x14ac:dyDescent="0.35">
      <c r="B136" s="1"/>
    </row>
    <row r="137" spans="2:2" ht="14" customHeight="1" x14ac:dyDescent="0.35">
      <c r="B137" s="1"/>
    </row>
    <row r="138" spans="2:2" ht="14" customHeight="1" x14ac:dyDescent="0.35">
      <c r="B138" s="1"/>
    </row>
    <row r="139" spans="2:2" ht="14" customHeight="1" x14ac:dyDescent="0.35">
      <c r="B139" s="1"/>
    </row>
    <row r="140" spans="2:2" ht="14" customHeight="1" x14ac:dyDescent="0.35">
      <c r="B140" s="1"/>
    </row>
    <row r="141" spans="2:2" ht="14" customHeight="1" x14ac:dyDescent="0.35">
      <c r="B141" s="1"/>
    </row>
    <row r="142" spans="2:2" ht="14" customHeight="1" x14ac:dyDescent="0.35">
      <c r="B142" s="1"/>
    </row>
    <row r="143" spans="2:2" ht="14" customHeight="1" x14ac:dyDescent="0.35">
      <c r="B143" s="1"/>
    </row>
    <row r="144" spans="2:2" ht="14" customHeight="1" x14ac:dyDescent="0.35">
      <c r="B144" s="1"/>
    </row>
    <row r="145" spans="2:2" ht="14" customHeight="1" x14ac:dyDescent="0.35">
      <c r="B145" s="1"/>
    </row>
    <row r="146" spans="2:2" ht="14" customHeight="1" x14ac:dyDescent="0.35">
      <c r="B146" s="1"/>
    </row>
    <row r="147" spans="2:2" ht="14" customHeight="1" x14ac:dyDescent="0.35">
      <c r="B147" s="1"/>
    </row>
    <row r="148" spans="2:2" ht="14" customHeight="1" x14ac:dyDescent="0.35">
      <c r="B148" s="1"/>
    </row>
    <row r="149" spans="2:2" ht="14" customHeight="1" x14ac:dyDescent="0.35">
      <c r="B149" s="1"/>
    </row>
    <row r="150" spans="2:2" ht="14" customHeight="1" x14ac:dyDescent="0.35">
      <c r="B150" s="1"/>
    </row>
    <row r="151" spans="2:2" ht="14" customHeight="1" x14ac:dyDescent="0.35">
      <c r="B151" s="1"/>
    </row>
    <row r="152" spans="2:2" ht="14" customHeight="1" x14ac:dyDescent="0.35">
      <c r="B152" s="1"/>
    </row>
    <row r="153" spans="2:2" ht="14" customHeight="1" x14ac:dyDescent="0.35">
      <c r="B153" s="1"/>
    </row>
    <row r="154" spans="2:2" ht="14" customHeight="1" x14ac:dyDescent="0.35">
      <c r="B154" s="1"/>
    </row>
    <row r="155" spans="2:2" ht="14" customHeight="1" x14ac:dyDescent="0.35">
      <c r="B155" s="1"/>
    </row>
    <row r="156" spans="2:2" ht="14" customHeight="1" x14ac:dyDescent="0.35">
      <c r="B156" s="1"/>
    </row>
    <row r="157" spans="2:2" ht="14" customHeight="1" x14ac:dyDescent="0.35">
      <c r="B157" s="1"/>
    </row>
    <row r="158" spans="2:2" ht="14" customHeight="1" x14ac:dyDescent="0.35">
      <c r="B158" s="1"/>
    </row>
    <row r="159" spans="2:2" ht="14" customHeight="1" x14ac:dyDescent="0.35">
      <c r="B159" s="1"/>
    </row>
    <row r="160" spans="2:2" ht="14" customHeight="1" x14ac:dyDescent="0.35">
      <c r="B160" s="1"/>
    </row>
    <row r="161" spans="2:2" ht="14" customHeight="1" x14ac:dyDescent="0.35">
      <c r="B161" s="1"/>
    </row>
    <row r="162" spans="2:2" ht="14" customHeight="1" x14ac:dyDescent="0.35">
      <c r="B162" s="1"/>
    </row>
    <row r="163" spans="2:2" ht="14" customHeight="1" x14ac:dyDescent="0.35">
      <c r="B163" s="1"/>
    </row>
    <row r="164" spans="2:2" ht="14" customHeight="1" x14ac:dyDescent="0.35">
      <c r="B164" s="1"/>
    </row>
    <row r="165" spans="2:2" ht="14" customHeight="1" x14ac:dyDescent="0.35">
      <c r="B165" s="1"/>
    </row>
    <row r="166" spans="2:2" ht="14" customHeight="1" x14ac:dyDescent="0.35">
      <c r="B166" s="1"/>
    </row>
    <row r="167" spans="2:2" ht="14" customHeight="1" x14ac:dyDescent="0.35">
      <c r="B167" s="1"/>
    </row>
    <row r="168" spans="2:2" ht="14" customHeight="1" x14ac:dyDescent="0.35">
      <c r="B168" s="1"/>
    </row>
    <row r="169" spans="2:2" ht="14" customHeight="1" x14ac:dyDescent="0.35">
      <c r="B169" s="1"/>
    </row>
    <row r="170" spans="2:2" ht="14" customHeight="1" x14ac:dyDescent="0.35">
      <c r="B170" s="1"/>
    </row>
    <row r="171" spans="2:2" ht="14" customHeight="1" x14ac:dyDescent="0.35">
      <c r="B171" s="1"/>
    </row>
    <row r="172" spans="2:2" ht="14" customHeight="1" x14ac:dyDescent="0.35">
      <c r="B172" s="1"/>
    </row>
    <row r="173" spans="2:2" ht="14" customHeight="1" x14ac:dyDescent="0.35">
      <c r="B173" s="1"/>
    </row>
    <row r="174" spans="2:2" ht="14" customHeight="1" x14ac:dyDescent="0.35">
      <c r="B174" s="1"/>
    </row>
    <row r="175" spans="2:2" ht="14" customHeight="1" x14ac:dyDescent="0.35">
      <c r="B175" s="1"/>
    </row>
    <row r="176" spans="2:2" ht="14" customHeight="1" x14ac:dyDescent="0.35">
      <c r="B176" s="1"/>
    </row>
    <row r="177" spans="2:2" ht="14" customHeight="1" x14ac:dyDescent="0.35">
      <c r="B177" s="1"/>
    </row>
    <row r="178" spans="2:2" ht="14" customHeight="1" x14ac:dyDescent="0.35">
      <c r="B178" s="1"/>
    </row>
    <row r="179" spans="2:2" ht="14" customHeight="1" x14ac:dyDescent="0.35">
      <c r="B179" s="1"/>
    </row>
    <row r="180" spans="2:2" ht="14" customHeight="1" x14ac:dyDescent="0.35">
      <c r="B180" s="1"/>
    </row>
    <row r="181" spans="2:2" ht="14" customHeight="1" x14ac:dyDescent="0.35">
      <c r="B181" s="1"/>
    </row>
    <row r="182" spans="2:2" ht="14" customHeight="1" x14ac:dyDescent="0.35">
      <c r="B182" s="1"/>
    </row>
    <row r="183" spans="2:2" ht="14" customHeight="1" x14ac:dyDescent="0.35">
      <c r="B183" s="1"/>
    </row>
    <row r="184" spans="2:2" ht="14" customHeight="1" x14ac:dyDescent="0.35">
      <c r="B184" s="1"/>
    </row>
    <row r="185" spans="2:2" ht="14" customHeight="1" x14ac:dyDescent="0.35">
      <c r="B185" s="1"/>
    </row>
    <row r="186" spans="2:2" ht="14" customHeight="1" x14ac:dyDescent="0.35">
      <c r="B186" s="1"/>
    </row>
    <row r="187" spans="2:2" ht="14" customHeight="1" x14ac:dyDescent="0.35">
      <c r="B187" s="1"/>
    </row>
    <row r="188" spans="2:2" ht="14" customHeight="1" x14ac:dyDescent="0.35">
      <c r="B188" s="1"/>
    </row>
    <row r="189" spans="2:2" ht="14" customHeight="1" x14ac:dyDescent="0.35">
      <c r="B189" s="1"/>
    </row>
    <row r="190" spans="2:2" ht="14" customHeight="1" x14ac:dyDescent="0.35">
      <c r="B190" s="1"/>
    </row>
    <row r="191" spans="2:2" ht="14" customHeight="1" x14ac:dyDescent="0.35">
      <c r="B191" s="1"/>
    </row>
    <row r="192" spans="2:2" ht="14" customHeight="1" x14ac:dyDescent="0.35">
      <c r="B192" s="1"/>
    </row>
    <row r="193" spans="2:2" ht="14" customHeight="1" x14ac:dyDescent="0.35">
      <c r="B193" s="1"/>
    </row>
    <row r="194" spans="2:2" ht="14" customHeight="1" x14ac:dyDescent="0.35">
      <c r="B194" s="1"/>
    </row>
    <row r="195" spans="2:2" ht="14" customHeight="1" x14ac:dyDescent="0.35">
      <c r="B195" s="1"/>
    </row>
    <row r="196" spans="2:2" ht="14" customHeight="1" x14ac:dyDescent="0.35">
      <c r="B196" s="1"/>
    </row>
    <row r="197" spans="2:2" ht="14" customHeight="1" x14ac:dyDescent="0.35">
      <c r="B197" s="1"/>
    </row>
    <row r="198" spans="2:2" ht="14" customHeight="1" x14ac:dyDescent="0.35">
      <c r="B198" s="1"/>
    </row>
    <row r="199" spans="2:2" ht="14" customHeight="1" x14ac:dyDescent="0.35">
      <c r="B199" s="1"/>
    </row>
    <row r="200" spans="2:2" ht="14" customHeight="1" x14ac:dyDescent="0.35">
      <c r="B200" s="1"/>
    </row>
    <row r="201" spans="2:2" ht="14" customHeight="1" x14ac:dyDescent="0.35">
      <c r="B201" s="1"/>
    </row>
    <row r="202" spans="2:2" ht="14" customHeight="1" x14ac:dyDescent="0.35">
      <c r="B202" s="1"/>
    </row>
    <row r="203" spans="2:2" ht="14" customHeight="1" x14ac:dyDescent="0.35">
      <c r="B203" s="1"/>
    </row>
    <row r="204" spans="2:2" ht="14" customHeight="1" x14ac:dyDescent="0.35">
      <c r="B204" s="1"/>
    </row>
    <row r="205" spans="2:2" ht="14" customHeight="1" x14ac:dyDescent="0.35">
      <c r="B205" s="1"/>
    </row>
    <row r="206" spans="2:2" ht="14" customHeight="1" x14ac:dyDescent="0.35">
      <c r="B206" s="1"/>
    </row>
    <row r="207" spans="2:2" ht="14" customHeight="1" x14ac:dyDescent="0.35">
      <c r="B207" s="1"/>
    </row>
    <row r="208" spans="2:2" ht="14" customHeight="1" x14ac:dyDescent="0.35">
      <c r="B208" s="1"/>
    </row>
    <row r="209" spans="2:2" ht="14" customHeight="1" x14ac:dyDescent="0.35">
      <c r="B209" s="1"/>
    </row>
    <row r="210" spans="2:2" ht="14" customHeight="1" x14ac:dyDescent="0.35">
      <c r="B210" s="1"/>
    </row>
    <row r="211" spans="2:2" ht="14" customHeight="1" x14ac:dyDescent="0.35">
      <c r="B211" s="1"/>
    </row>
    <row r="212" spans="2:2" ht="14" customHeight="1" x14ac:dyDescent="0.35">
      <c r="B212" s="1"/>
    </row>
    <row r="213" spans="2:2" ht="14" customHeight="1" x14ac:dyDescent="0.35">
      <c r="B213" s="1"/>
    </row>
    <row r="214" spans="2:2" ht="14" customHeight="1" x14ac:dyDescent="0.35">
      <c r="B214" s="1"/>
    </row>
    <row r="215" spans="2:2" ht="14" customHeight="1" x14ac:dyDescent="0.35">
      <c r="B215" s="1"/>
    </row>
    <row r="216" spans="2:2" ht="14" customHeight="1" x14ac:dyDescent="0.35">
      <c r="B216" s="1"/>
    </row>
    <row r="217" spans="2:2" ht="14" customHeight="1" x14ac:dyDescent="0.35">
      <c r="B217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E917-BA7D-4F75-8CD4-A5C07947595D}">
  <dimension ref="B3:Q20"/>
  <sheetViews>
    <sheetView workbookViewId="0">
      <selection activeCell="K17" sqref="K17"/>
    </sheetView>
  </sheetViews>
  <sheetFormatPr defaultRowHeight="14.5" x14ac:dyDescent="0.35"/>
  <cols>
    <col min="6" max="6" width="11.54296875" customWidth="1"/>
    <col min="9" max="9" width="8.90625" bestFit="1" customWidth="1"/>
    <col min="13" max="13" width="8.36328125" style="1" customWidth="1"/>
    <col min="14" max="14" width="16.453125" customWidth="1"/>
    <col min="15" max="15" width="16.7265625" customWidth="1"/>
    <col min="16" max="16" width="7" customWidth="1"/>
    <col min="17" max="17" width="11.54296875" customWidth="1"/>
  </cols>
  <sheetData>
    <row r="3" spans="2:17" x14ac:dyDescent="0.35">
      <c r="M3" s="37" t="s">
        <v>330</v>
      </c>
    </row>
    <row r="4" spans="2:17" x14ac:dyDescent="0.35">
      <c r="M4" s="58" t="s">
        <v>331</v>
      </c>
    </row>
    <row r="6" spans="2:17" x14ac:dyDescent="0.35">
      <c r="B6" s="41" t="s">
        <v>315</v>
      </c>
      <c r="C6" s="42"/>
      <c r="D6" s="42"/>
      <c r="E6" s="42"/>
      <c r="F6" s="42"/>
      <c r="G6" s="43" t="s">
        <v>316</v>
      </c>
      <c r="H6" s="42"/>
      <c r="I6" s="42"/>
      <c r="J6" s="44"/>
      <c r="M6" s="1" t="s">
        <v>314</v>
      </c>
      <c r="N6" t="s">
        <v>12</v>
      </c>
      <c r="O6" t="s">
        <v>279</v>
      </c>
      <c r="P6" t="s">
        <v>280</v>
      </c>
      <c r="Q6" t="s">
        <v>281</v>
      </c>
    </row>
    <row r="7" spans="2:17" x14ac:dyDescent="0.35">
      <c r="B7" s="45" t="s">
        <v>317</v>
      </c>
      <c r="J7" s="46"/>
      <c r="M7" s="55">
        <v>100</v>
      </c>
      <c r="N7" s="56" t="s">
        <v>282</v>
      </c>
      <c r="O7" s="56" t="s">
        <v>283</v>
      </c>
      <c r="P7" s="57" t="s">
        <v>312</v>
      </c>
      <c r="Q7" s="56" t="s">
        <v>284</v>
      </c>
    </row>
    <row r="8" spans="2:17" x14ac:dyDescent="0.35">
      <c r="B8" s="45" t="s">
        <v>318</v>
      </c>
      <c r="G8" t="s">
        <v>319</v>
      </c>
      <c r="I8" s="47">
        <v>46052</v>
      </c>
      <c r="J8" s="46"/>
      <c r="M8" s="55">
        <v>101</v>
      </c>
      <c r="N8" s="56" t="s">
        <v>285</v>
      </c>
      <c r="O8" s="56" t="s">
        <v>286</v>
      </c>
      <c r="P8" s="57">
        <v>33100</v>
      </c>
      <c r="Q8" s="56" t="s">
        <v>287</v>
      </c>
    </row>
    <row r="9" spans="2:17" x14ac:dyDescent="0.35">
      <c r="B9" s="45"/>
      <c r="G9" t="s">
        <v>320</v>
      </c>
      <c r="I9" s="40" t="s">
        <v>321</v>
      </c>
      <c r="J9" s="46"/>
      <c r="M9" s="55">
        <v>102</v>
      </c>
      <c r="N9" s="56" t="s">
        <v>288</v>
      </c>
      <c r="O9" s="56" t="s">
        <v>289</v>
      </c>
      <c r="P9" s="57">
        <v>20100</v>
      </c>
      <c r="Q9" s="56" t="s">
        <v>290</v>
      </c>
    </row>
    <row r="10" spans="2:17" x14ac:dyDescent="0.35">
      <c r="B10" s="45"/>
      <c r="J10" s="46"/>
      <c r="M10" s="55">
        <v>103</v>
      </c>
      <c r="N10" s="56" t="s">
        <v>291</v>
      </c>
      <c r="O10" s="56" t="s">
        <v>292</v>
      </c>
      <c r="P10" s="57">
        <v>40100</v>
      </c>
      <c r="Q10" s="56" t="s">
        <v>293</v>
      </c>
    </row>
    <row r="11" spans="2:17" x14ac:dyDescent="0.35">
      <c r="B11" s="45" t="s">
        <v>322</v>
      </c>
      <c r="D11" s="53">
        <v>103</v>
      </c>
      <c r="G11" t="s">
        <v>323</v>
      </c>
      <c r="I11" s="48">
        <f>I8</f>
        <v>46052</v>
      </c>
      <c r="J11" s="46"/>
      <c r="M11" s="55">
        <v>104</v>
      </c>
      <c r="N11" s="56" t="s">
        <v>294</v>
      </c>
      <c r="O11" s="56" t="s">
        <v>295</v>
      </c>
      <c r="P11" s="57" t="s">
        <v>313</v>
      </c>
      <c r="Q11" s="56" t="s">
        <v>296</v>
      </c>
    </row>
    <row r="12" spans="2:17" x14ac:dyDescent="0.35">
      <c r="B12" s="73"/>
      <c r="C12" s="73"/>
      <c r="D12" s="73"/>
      <c r="E12" t="s">
        <v>390</v>
      </c>
      <c r="G12" t="s">
        <v>324</v>
      </c>
      <c r="I12" t="s">
        <v>325</v>
      </c>
      <c r="J12" s="46"/>
      <c r="M12" s="55">
        <v>105</v>
      </c>
      <c r="N12" s="56" t="s">
        <v>297</v>
      </c>
      <c r="O12" s="56" t="s">
        <v>298</v>
      </c>
      <c r="P12" s="57">
        <v>96100</v>
      </c>
      <c r="Q12" s="56" t="s">
        <v>299</v>
      </c>
    </row>
    <row r="13" spans="2:17" x14ac:dyDescent="0.35">
      <c r="B13" s="73"/>
      <c r="C13" s="73"/>
      <c r="D13" s="73"/>
      <c r="E13" t="s">
        <v>391</v>
      </c>
      <c r="G13" t="s">
        <v>326</v>
      </c>
      <c r="I13" s="54">
        <v>14</v>
      </c>
      <c r="J13" s="46" t="s">
        <v>327</v>
      </c>
      <c r="M13" s="55">
        <v>106</v>
      </c>
      <c r="N13" s="56" t="s">
        <v>300</v>
      </c>
      <c r="O13" s="56" t="s">
        <v>301</v>
      </c>
      <c r="P13" s="57">
        <v>70100</v>
      </c>
      <c r="Q13" s="56" t="s">
        <v>302</v>
      </c>
    </row>
    <row r="14" spans="2:17" x14ac:dyDescent="0.35">
      <c r="B14" s="74"/>
      <c r="C14" s="74"/>
      <c r="D14" s="74"/>
      <c r="E14" t="s">
        <v>392</v>
      </c>
      <c r="G14" t="s">
        <v>328</v>
      </c>
      <c r="I14" s="83"/>
      <c r="J14" s="46"/>
      <c r="K14" t="s">
        <v>389</v>
      </c>
      <c r="M14" s="55">
        <v>107</v>
      </c>
      <c r="N14" s="56" t="s">
        <v>303</v>
      </c>
      <c r="O14" s="56" t="s">
        <v>304</v>
      </c>
      <c r="P14" s="57">
        <v>65100</v>
      </c>
      <c r="Q14" s="56" t="s">
        <v>305</v>
      </c>
    </row>
    <row r="15" spans="2:17" ht="15" thickBot="1" x14ac:dyDescent="0.4">
      <c r="B15" s="73"/>
      <c r="C15" s="73"/>
      <c r="D15" s="73"/>
      <c r="E15" t="s">
        <v>393</v>
      </c>
      <c r="F15" s="49"/>
      <c r="G15" s="49" t="s">
        <v>329</v>
      </c>
      <c r="H15" s="49"/>
      <c r="I15" s="50">
        <v>9.5000000000000001E-2</v>
      </c>
      <c r="J15" s="51"/>
      <c r="M15" s="55">
        <v>108</v>
      </c>
      <c r="N15" s="56" t="s">
        <v>306</v>
      </c>
      <c r="O15" s="56" t="s">
        <v>307</v>
      </c>
      <c r="P15" s="57">
        <v>53100</v>
      </c>
      <c r="Q15" s="56" t="s">
        <v>308</v>
      </c>
    </row>
    <row r="16" spans="2:17" x14ac:dyDescent="0.35">
      <c r="M16" s="55">
        <v>109</v>
      </c>
      <c r="N16" s="56" t="s">
        <v>309</v>
      </c>
      <c r="O16" s="56" t="s">
        <v>310</v>
      </c>
      <c r="P16" s="57">
        <v>15110</v>
      </c>
      <c r="Q16" s="56" t="s">
        <v>311</v>
      </c>
    </row>
    <row r="20" spans="13:13" x14ac:dyDescent="0.35">
      <c r="M20" s="39" t="s">
        <v>277</v>
      </c>
    </row>
  </sheetData>
  <mergeCells count="4">
    <mergeCell ref="B12:D12"/>
    <mergeCell ref="B13:D13"/>
    <mergeCell ref="B14:D14"/>
    <mergeCell ref="B15:D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9785-EE27-46A1-BD5A-BCED9566E396}">
  <dimension ref="B7:I15"/>
  <sheetViews>
    <sheetView workbookViewId="0">
      <selection activeCell="K8" sqref="K8"/>
    </sheetView>
  </sheetViews>
  <sheetFormatPr defaultRowHeight="14.5" x14ac:dyDescent="0.35"/>
  <cols>
    <col min="2" max="2" width="30.90625" customWidth="1"/>
    <col min="3" max="3" width="10" bestFit="1" customWidth="1"/>
  </cols>
  <sheetData>
    <row r="7" spans="2:9" x14ac:dyDescent="0.35">
      <c r="B7" s="37" t="s">
        <v>351</v>
      </c>
      <c r="C7" s="62">
        <v>10000</v>
      </c>
      <c r="D7" s="62">
        <v>450</v>
      </c>
      <c r="E7" s="62">
        <v>1000</v>
      </c>
      <c r="F7" s="62">
        <v>2500</v>
      </c>
      <c r="G7" s="62">
        <v>6000</v>
      </c>
      <c r="H7" s="62">
        <v>8000</v>
      </c>
      <c r="I7" s="62">
        <v>10000</v>
      </c>
    </row>
    <row r="9" spans="2:9" x14ac:dyDescent="0.35">
      <c r="B9" s="37" t="s">
        <v>352</v>
      </c>
      <c r="C9" s="84">
        <f>MIN(MAX(C7-900,0),7000)</f>
        <v>7000</v>
      </c>
      <c r="D9" s="84">
        <f t="shared" ref="D9:K9" si="0">MIN(MAX(D7-900,0),7000)</f>
        <v>0</v>
      </c>
      <c r="E9" s="84">
        <f t="shared" si="0"/>
        <v>100</v>
      </c>
      <c r="F9" s="84">
        <f t="shared" si="0"/>
        <v>1600</v>
      </c>
      <c r="G9" s="84">
        <f t="shared" si="0"/>
        <v>5100</v>
      </c>
      <c r="H9" s="84">
        <f t="shared" si="0"/>
        <v>7000</v>
      </c>
      <c r="I9" s="84">
        <f t="shared" si="0"/>
        <v>7000</v>
      </c>
    </row>
    <row r="14" spans="2:9" x14ac:dyDescent="0.35">
      <c r="F14" t="s">
        <v>353</v>
      </c>
    </row>
    <row r="15" spans="2:9" x14ac:dyDescent="0.35">
      <c r="F15" t="s">
        <v>354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4FD5-CAA4-40A5-B62B-6D6AE3301881}">
  <dimension ref="A6:K19"/>
  <sheetViews>
    <sheetView topLeftCell="A4" workbookViewId="0">
      <selection activeCell="J21" sqref="J21"/>
    </sheetView>
  </sheetViews>
  <sheetFormatPr defaultRowHeight="14.5" x14ac:dyDescent="0.35"/>
  <cols>
    <col min="1" max="1" width="5.08984375" customWidth="1"/>
    <col min="2" max="2" width="14.54296875" customWidth="1"/>
    <col min="4" max="4" width="6.6328125" customWidth="1"/>
    <col min="9" max="9" width="15.54296875" customWidth="1"/>
    <col min="11" max="11" width="9.90625" bestFit="1" customWidth="1"/>
  </cols>
  <sheetData>
    <row r="6" spans="1:11" x14ac:dyDescent="0.35">
      <c r="A6" t="s">
        <v>340</v>
      </c>
      <c r="D6" t="s">
        <v>341</v>
      </c>
      <c r="H6" t="s">
        <v>278</v>
      </c>
      <c r="K6" t="s">
        <v>343</v>
      </c>
    </row>
    <row r="8" spans="1:11" x14ac:dyDescent="0.35">
      <c r="A8" s="59" t="s">
        <v>332</v>
      </c>
      <c r="B8" s="52" t="s">
        <v>334</v>
      </c>
      <c r="D8" s="52" t="s">
        <v>342</v>
      </c>
      <c r="E8" s="52">
        <v>-16.3</v>
      </c>
      <c r="H8" s="1" t="s">
        <v>314</v>
      </c>
      <c r="I8" t="s">
        <v>12</v>
      </c>
      <c r="K8" s="60">
        <v>46299</v>
      </c>
    </row>
    <row r="9" spans="1:11" x14ac:dyDescent="0.35">
      <c r="A9" s="52"/>
      <c r="B9" s="52" t="s">
        <v>335</v>
      </c>
      <c r="D9" s="52"/>
      <c r="E9" s="52">
        <v>-14.2</v>
      </c>
      <c r="H9" s="59">
        <v>100</v>
      </c>
      <c r="I9" s="52" t="s">
        <v>282</v>
      </c>
      <c r="K9" s="60"/>
    </row>
    <row r="10" spans="1:11" x14ac:dyDescent="0.35">
      <c r="A10" s="52"/>
      <c r="B10" s="52" t="s">
        <v>336</v>
      </c>
      <c r="D10" s="52"/>
      <c r="E10" s="52">
        <v>-12.5</v>
      </c>
      <c r="H10" s="59"/>
      <c r="I10" s="52" t="s">
        <v>285</v>
      </c>
      <c r="K10" s="60"/>
    </row>
    <row r="11" spans="1:11" x14ac:dyDescent="0.35">
      <c r="A11" s="52"/>
      <c r="B11" s="52" t="s">
        <v>333</v>
      </c>
      <c r="D11" s="52"/>
      <c r="E11" s="52">
        <v>-4.5</v>
      </c>
      <c r="H11" s="59"/>
      <c r="I11" s="52" t="s">
        <v>288</v>
      </c>
      <c r="K11" s="60"/>
    </row>
    <row r="12" spans="1:11" x14ac:dyDescent="0.35">
      <c r="A12" s="52"/>
      <c r="B12" s="52" t="s">
        <v>337</v>
      </c>
      <c r="D12" s="52"/>
      <c r="E12" s="52">
        <v>3.4</v>
      </c>
      <c r="H12" s="59"/>
      <c r="I12" s="52" t="s">
        <v>291</v>
      </c>
      <c r="K12" s="60"/>
    </row>
    <row r="13" spans="1:11" x14ac:dyDescent="0.35">
      <c r="A13" s="52"/>
      <c r="B13" s="52" t="s">
        <v>338</v>
      </c>
      <c r="D13" s="52"/>
      <c r="E13" s="52">
        <v>13.8</v>
      </c>
      <c r="H13" s="59"/>
      <c r="I13" s="52" t="s">
        <v>294</v>
      </c>
      <c r="K13" s="60"/>
    </row>
    <row r="14" spans="1:11" x14ac:dyDescent="0.35">
      <c r="A14" s="52"/>
      <c r="B14" s="52" t="s">
        <v>339</v>
      </c>
      <c r="D14" s="52"/>
      <c r="E14" s="52">
        <v>20.3</v>
      </c>
      <c r="H14" s="59"/>
      <c r="I14" s="52" t="s">
        <v>297</v>
      </c>
      <c r="K14" s="60"/>
    </row>
    <row r="15" spans="1:11" x14ac:dyDescent="0.35">
      <c r="D15" s="52"/>
      <c r="E15" s="52">
        <v>21.4</v>
      </c>
      <c r="H15" s="59"/>
      <c r="I15" s="52" t="s">
        <v>300</v>
      </c>
      <c r="K15" s="60"/>
    </row>
    <row r="16" spans="1:11" x14ac:dyDescent="0.35">
      <c r="D16" s="52"/>
      <c r="E16" s="52">
        <v>17.8</v>
      </c>
      <c r="H16" s="59"/>
      <c r="I16" s="52" t="s">
        <v>303</v>
      </c>
      <c r="K16" s="60"/>
    </row>
    <row r="17" spans="4:9" x14ac:dyDescent="0.35">
      <c r="D17" s="52"/>
      <c r="E17" s="52">
        <v>6.3</v>
      </c>
      <c r="H17" s="59"/>
      <c r="I17" s="52" t="s">
        <v>306</v>
      </c>
    </row>
    <row r="18" spans="4:9" x14ac:dyDescent="0.35">
      <c r="D18" s="52"/>
      <c r="E18" s="52">
        <v>-1.3</v>
      </c>
      <c r="H18" s="59"/>
      <c r="I18" s="52" t="s">
        <v>309</v>
      </c>
    </row>
    <row r="19" spans="4:9" x14ac:dyDescent="0.35">
      <c r="D19" s="52"/>
      <c r="E19" s="52">
        <v>-6.5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05BD-D2E6-4412-BB85-2D5BA9DE6C4A}">
  <dimension ref="A5:J16"/>
  <sheetViews>
    <sheetView workbookViewId="0">
      <selection activeCell="G10" sqref="G10"/>
    </sheetView>
  </sheetViews>
  <sheetFormatPr defaultRowHeight="14.5" x14ac:dyDescent="0.35"/>
  <cols>
    <col min="1" max="1" width="17.54296875" customWidth="1"/>
    <col min="2" max="2" width="11.7265625" customWidth="1"/>
    <col min="4" max="4" width="10.36328125" customWidth="1"/>
  </cols>
  <sheetData>
    <row r="5" spans="1:10" x14ac:dyDescent="0.35">
      <c r="D5" t="s">
        <v>348</v>
      </c>
    </row>
    <row r="6" spans="1:10" x14ac:dyDescent="0.35">
      <c r="A6" t="s">
        <v>344</v>
      </c>
      <c r="B6" t="s">
        <v>345</v>
      </c>
      <c r="C6" t="s">
        <v>346</v>
      </c>
      <c r="D6" t="s">
        <v>347</v>
      </c>
      <c r="J6" s="39" t="s">
        <v>277</v>
      </c>
    </row>
    <row r="7" spans="1:10" x14ac:dyDescent="0.35">
      <c r="A7" s="52" t="s">
        <v>282</v>
      </c>
      <c r="D7" s="61"/>
    </row>
    <row r="8" spans="1:10" x14ac:dyDescent="0.35">
      <c r="A8" s="52" t="s">
        <v>285</v>
      </c>
      <c r="D8" s="61"/>
    </row>
    <row r="9" spans="1:10" x14ac:dyDescent="0.35">
      <c r="A9" s="52" t="s">
        <v>288</v>
      </c>
      <c r="D9" s="61"/>
    </row>
    <row r="10" spans="1:10" x14ac:dyDescent="0.35">
      <c r="A10" s="52" t="s">
        <v>291</v>
      </c>
      <c r="D10" s="61"/>
    </row>
    <row r="11" spans="1:10" x14ac:dyDescent="0.35">
      <c r="A11" s="52" t="s">
        <v>294</v>
      </c>
      <c r="D11" s="61"/>
    </row>
    <row r="12" spans="1:10" x14ac:dyDescent="0.35">
      <c r="A12" s="52" t="s">
        <v>297</v>
      </c>
      <c r="D12" s="61"/>
    </row>
    <row r="13" spans="1:10" x14ac:dyDescent="0.35">
      <c r="A13" s="52" t="s">
        <v>300</v>
      </c>
      <c r="D13" s="61"/>
    </row>
    <row r="14" spans="1:10" x14ac:dyDescent="0.35">
      <c r="A14" s="52" t="s">
        <v>303</v>
      </c>
      <c r="D14" s="61"/>
    </row>
    <row r="15" spans="1:10" x14ac:dyDescent="0.35">
      <c r="A15" s="52" t="s">
        <v>306</v>
      </c>
      <c r="D15" s="61"/>
    </row>
    <row r="16" spans="1:10" x14ac:dyDescent="0.35">
      <c r="A16" s="52" t="s">
        <v>309</v>
      </c>
      <c r="D16" s="61"/>
    </row>
  </sheetData>
  <dataConsolidate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823ee79-bdbf-4d11-a783-980929fd6733}" enabled="1" method="Standard" siteId="{4c60a66f-0a8d-446e-9ac0-836a00d8454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9</vt:i4>
      </vt:variant>
      <vt:variant>
        <vt:lpstr>Nimetyt alueet</vt:lpstr>
      </vt:variant>
      <vt:variant>
        <vt:i4>3</vt:i4>
      </vt:variant>
    </vt:vector>
  </HeadingPairs>
  <TitlesOfParts>
    <vt:vector size="12" baseType="lpstr">
      <vt:lpstr>1) Perusteita</vt:lpstr>
      <vt:lpstr>2) Absoluttinen viittaus</vt:lpstr>
      <vt:lpstr>3) Sekaviittaukset</vt:lpstr>
      <vt:lpstr>4) tilastofunktioita</vt:lpstr>
      <vt:lpstr>5) JOS -funktio </vt:lpstr>
      <vt:lpstr>6) PHAKU-funktio</vt:lpstr>
      <vt:lpstr>7) Työmatkavähennys</vt:lpstr>
      <vt:lpstr>8) Autom. sarjat</vt:lpstr>
      <vt:lpstr>9) Pikatäyttötoiminto</vt:lpstr>
      <vt:lpstr>alat</vt:lpstr>
      <vt:lpstr>asiakas</vt:lpstr>
      <vt:lpstr>korko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jouko teeriaho</dc:creator>
  <cp:lastModifiedBy>Jouko Teeriaho</cp:lastModifiedBy>
  <dcterms:created xsi:type="dcterms:W3CDTF">2026-04-28T10:22:55Z</dcterms:created>
  <dcterms:modified xsi:type="dcterms:W3CDTF">2026-10-20T11:20:50Z</dcterms:modified>
</cp:coreProperties>
</file>